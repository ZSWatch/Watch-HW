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'Costs'!$H$48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7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7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<sst xmlns="http://schemas.openxmlformats.org/spreadsheetml/2006/main" count="582" uniqueCount="266">
  <si>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</si>
  <si>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</si>
  <si>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</si>
  <si>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</si>
  <si>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</si>
  <si>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</si>
  <si>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</si>
  <si>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</si>
  <si>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</si>
  <si>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</si>
  <si>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</si>
  <si>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</si>
  <si>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</si>
  <si>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</si>
  <si>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</si>
  <si>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</si>
  <si>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</si>
  <si>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</si>
  <si>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</si>
  <si>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</si>
  <si>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</si>
  <si>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</si>
  <si>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</si>
  <si>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</si>
  <si>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</si>
  <si>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</si>
  <si>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</si>
  <si>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</si>
  <si>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</si>
  <si>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</si>
  <si>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</si>
  <si>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</si>
  <si>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</si>
  <si>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</si>
  <si>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</si>
  <si>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</si>
  <si>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</si>
  <si>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</si>
  <si>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</si>
  <si>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</si>
  <si>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</si>
  <si>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</si>
  <si>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</si>
  <si>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</si>
  <si>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</si>
  <si>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</si>
  <si>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</si>
  <si>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</si>
  <si>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</si>
  <si>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</si>
  <si>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</si>
  <si>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</si>
  <si>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</si>
  <si>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</si>
  <si>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</si>
  <si>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</si>
  <si>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</si>
  <si>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</si>
  <si>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</si>
  <si>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</si>
  <si>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</si>
  <si>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</si>
  <si>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</si>
  <si>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</si>
  <si>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</si>
  <si>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</si>
  <si>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</si>
  <si>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</si>
  <si>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</si>
  <si>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</si>
  <si>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</si>
  <si>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</si>
  <si>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</si>
  <si>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</si>
  <si>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</si>
  <si>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</si>
  <si>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</si>
  <si>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</si>
  <si>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</si>
  <si>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</si>
  <si>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</si>
  <si>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</si>
  <si>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</si>
  <si>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</si>
  <si>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</si>
  <si>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</si>
  <si>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</si>
  <si>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</si>
  <si>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</si>
  <si>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</si>
  <si>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</si>
  <si>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</si>
  <si>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</si>
  <si>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</si>
  <si>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</si>
  <si>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</si>
  <si>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</si>
  <si>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</si>
  <si>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</si>
  <si>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</si>
  <si>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</si>
  <si>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</si>
  <si>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</si>
  <si>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</si>
  <si>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</si>
  <si>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</si>
  <si>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</si>
  <si>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</si>
  <si>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</si>
  <si>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</si>
  <si>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</si>
  <si>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</si>
  <si>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</si>
  <si>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</si>
  <si>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</si>
  <si>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</si>
  <si>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</si>
  <si>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</si>
  <si>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J1</t>
  </si>
  <si>
    <t>53261-0271</t>
  </si>
  <si>
    <t>https://www.molex.com/pdm_docs/sd/532610271_sd.pdf</t>
  </si>
  <si>
    <t>molex_pico</t>
  </si>
  <si>
    <t>1.25mm Pitch, PicoBlade PCB Header, Single Row, Right-Angle, Surface Mount, Tin (Sn) Plating, Friction Lock,  Circuits, Tape and Reel</t>
  </si>
  <si>
    <t>Molex</t>
  </si>
  <si>
    <t>20</t>
  </si>
  <si>
    <t>L401 L402</t>
  </si>
  <si>
    <t>https://www.mouser.de/datasheet/3/76/1/JELF243B-9121.pdf</t>
  </si>
  <si>
    <t>L_0603_1608Metric</t>
  </si>
  <si>
    <t>Inductor</t>
  </si>
  <si>
    <t>LQM18PZ2R2MDHD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</si>
  <si>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</si>
  <si>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</si>
  <si>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</si>
  <si>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</si>
  <si>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</si>
  <si>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</si>
  <si>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</si>
  <si>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</si>
  <si>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</si>
  <si>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</si>
  <si>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</si>
  <si>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</si>
  <si>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</si>
  <si>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</si>
  <si>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</si>
  <si>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</si>
  <si>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</si>
  <si>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</si>
  <si>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</si>
  <si>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</si>
  <si>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</si>
  <si>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</si>
  <si>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</si>
  <si>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</si>
  <si>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</si>
  <si>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</si>
  <si>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</si>
  <si>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</si>
  <si>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</si>
  <si>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</si>
  <si>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</si>
  <si>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</si>
  <si>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</si>
  <si>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</si>
  <si>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</si>
  <si>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</si>
  <si>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</si>
  <si>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</si>
  <si>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</si>
  <si>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</si>
  <si>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</si>
  <si>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</si>
  <si>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</si>
  <si>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</si>
  <si>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</si>
  <si>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</si>
  <si>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</si>
  <si>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</si>
  <si>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</si>
  <si>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</si>
  <si>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</si>
  <si>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</si>
  <si>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</si>
  <si>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</si>
  <si>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</si>
  <si>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</si>
  <si>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</si>
  <si>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</si>
  <si>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</si>
  <si>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</si>
  <si>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</si>
  <si>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</si>
  <si>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</si>
  <si>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</si>
  <si>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</si>
  <si>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34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</si>
  <si>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</si>
  <si>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</si>
  <si>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</si>
  <si>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</si>
  <si>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</si>
  <si>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</si>
  <si>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35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</si>
  <si>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</si>
  <si>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</si>
  <si>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</si>
  <si>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</si>
  <si>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</si>
  <si>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</si>
  <si>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36</t>
  </si>
  <si>
    <t>X509</t>
  </si>
  <si>
    <t>Motor</t>
  </si>
  <si>
    <t>https://www.molex.com/en-us/products/part-detail-pdf/781710002?display=pdf</t>
  </si>
  <si>
    <t>78171-0002</t>
  </si>
  <si>
    <t>Generic connector, single row, 01x02, script generated (kicad-library-utils/schlib/autogen/connector/)</t>
  </si>
  <si>
    <t>Bill of Materials</t>
  </si>
  <si>
    <t>Schematic:</t>
  </si>
  <si>
    <t>ZSWatch-Watch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</si>
  <si>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</si>
  <si>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</si>
  <si>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</si>
  <si>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</si>
  <si>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</si>
  <si>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</si>
  <si>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</si>
  <si>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</si>
  <si>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</si>
  <si>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61 (57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</si>
  <si>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</si>
  <si>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</si>
  <si>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</si>
  <si>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</si>
  <si>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</si>
  <si>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</si>
  <si>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</si>
  <si>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</si>
  <si>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</si>
  <si>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</si>
  <si>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</si>
  <si>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</si>
  <si>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</si>
  <si>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</si>
  <si>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</si>
  <si>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</si>
  <si>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</si>
  <si>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</si>
  <si>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</si>
  <si>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</si>
  <si>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</si>
  <si>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2026-10-14 21:07:43</t>
  </si>
  <si>
    <t>KiCost® v1.1.21 + KiBot v1.9.1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</si>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</sst>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Relationship Id="rId37" Type="http://schemas.openxmlformats.org/officeDocument/2006/relationships/hyperlink" Target="https://mouser.com/bom/" TargetMode="Externa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4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2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216</v>
      </c>
      <c r="B2" s="3" t="s">
        <v>217</v>
      </c>
      <c r="C2" s="2" t="s">
        <v>225</v>
      </c>
      <c r="D2" s="3">
        <v>36</v>
      </c>
    </row>
    <row r="3" spans="1:9">
      <c r="A3" s="2" t="s">
        <v>218</v>
      </c>
      <c r="B3" s="3" t="s">
        <v>219</v>
      </c>
      <c r="C3" s="2" t="s">
        <v>226</v>
      </c>
      <c r="D3" s="3" t="s">
        <v>227</v>
      </c>
    </row>
    <row r="4" spans="1:9">
      <c r="A4" s="2" t="s">
        <v>220</v>
      </c>
      <c r="B4" s="3" t="s">
        <v>54</v>
      </c>
      <c r="C4" s="2" t="s">
        <v>228</v>
      </c>
      <c r="D4" s="3" t="s">
        <v>227</v>
      </c>
    </row>
    <row r="5" spans="1:9">
      <c r="A5" s="2" t="s">
        <v>221</v>
      </c>
      <c r="B5" s="3" t="s">
        <v>222</v>
      </c>
      <c r="C5" s="2" t="s">
        <v>229</v>
      </c>
      <c r="D5" s="3">
        <v>1</v>
      </c>
    </row>
    <row r="6" spans="1:9">
      <c r="A6" s="2" t="s">
        <v>223</v>
      </c>
      <c r="B6" s="3" t="s">
        <v>224</v>
      </c>
      <c r="C6" s="2" t="s">
        <v>230</v>
      </c>
      <c r="D6" s="3">
        <v>61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 ht="45" customHeight="1">
      <c r="A27" s="5" t="s">
        <v>117</v>
      </c>
      <c r="B27" s="5" t="s">
        <v>9</v>
      </c>
      <c r="C27" s="6" t="s">
        <v>118</v>
      </c>
      <c r="D27" s="6" t="s">
        <v>119</v>
      </c>
      <c r="E27" s="6" t="s">
        <v>120</v>
      </c>
      <c r="F27" s="6" t="s">
        <v>121</v>
      </c>
      <c r="G27" s="7" t="s">
        <v>122</v>
      </c>
      <c r="H27" s="7" t="s">
        <v>123</v>
      </c>
      <c r="I27" s="7" t="s">
        <v>119</v>
      </c>
    </row>
    <row r="28" spans="1:9">
      <c r="A28" s="8" t="s">
        <v>124</v>
      </c>
      <c r="B28" s="8" t="s">
        <v>18</v>
      </c>
      <c r="C28" s="9" t="s">
        <v>125</v>
      </c>
      <c r="D28" s="9" t="s">
        <v>28</v>
      </c>
      <c r="E28" s="9" t="s">
        <v>126</v>
      </c>
      <c r="F28" s="9" t="s">
        <v>127</v>
      </c>
      <c r="G28" s="10" t="s">
        <v>128</v>
      </c>
      <c r="H28" s="10" t="s">
        <v>36</v>
      </c>
      <c r="I28" s="10" t="s">
        <v>129</v>
      </c>
    </row>
    <row r="29" spans="1:9">
      <c r="A29" s="5" t="s">
        <v>130</v>
      </c>
      <c r="B29" s="5" t="s">
        <v>9</v>
      </c>
      <c r="C29" s="6" t="s">
        <v>131</v>
      </c>
      <c r="D29" s="6" t="s">
        <v>132</v>
      </c>
      <c r="E29" s="6" t="s">
        <v>133</v>
      </c>
      <c r="F29" s="6" t="s">
        <v>132</v>
      </c>
      <c r="G29" s="12" t="s">
        <v>54</v>
      </c>
      <c r="H29" s="7" t="s">
        <v>134</v>
      </c>
      <c r="I29" s="7" t="s">
        <v>135</v>
      </c>
    </row>
    <row r="30" spans="1:9" ht="30" customHeight="1">
      <c r="A30" s="8" t="s">
        <v>136</v>
      </c>
      <c r="B30" s="8" t="s">
        <v>9</v>
      </c>
      <c r="C30" s="9" t="s">
        <v>137</v>
      </c>
      <c r="D30" s="9" t="s">
        <v>138</v>
      </c>
      <c r="E30" s="9" t="s">
        <v>139</v>
      </c>
      <c r="F30" s="9" t="s">
        <v>138</v>
      </c>
      <c r="G30" s="10" t="s">
        <v>140</v>
      </c>
      <c r="H30" s="10" t="s">
        <v>141</v>
      </c>
      <c r="I30" s="10" t="s">
        <v>138</v>
      </c>
    </row>
    <row r="31" spans="1:9" ht="30" customHeight="1">
      <c r="A31" s="5" t="s">
        <v>142</v>
      </c>
      <c r="B31" s="5" t="s">
        <v>18</v>
      </c>
      <c r="C31" s="6" t="s">
        <v>143</v>
      </c>
      <c r="D31" s="6" t="s">
        <v>144</v>
      </c>
      <c r="E31" s="6" t="s">
        <v>145</v>
      </c>
      <c r="F31" s="6" t="s">
        <v>146</v>
      </c>
      <c r="G31" s="7" t="s">
        <v>147</v>
      </c>
      <c r="H31" s="7" t="s">
        <v>148</v>
      </c>
      <c r="I31" s="7" t="s">
        <v>149</v>
      </c>
    </row>
    <row r="32" spans="1:9" ht="30" customHeight="1">
      <c r="A32" s="8" t="s">
        <v>150</v>
      </c>
      <c r="B32" s="8" t="s">
        <v>18</v>
      </c>
      <c r="C32" s="9" t="s">
        <v>151</v>
      </c>
      <c r="D32" s="9" t="s">
        <v>152</v>
      </c>
      <c r="E32" s="9" t="s">
        <v>145</v>
      </c>
      <c r="F32" s="9" t="s">
        <v>146</v>
      </c>
      <c r="G32" s="10" t="s">
        <v>147</v>
      </c>
      <c r="H32" s="10" t="s">
        <v>148</v>
      </c>
      <c r="I32" s="10" t="s">
        <v>153</v>
      </c>
    </row>
    <row r="33" spans="1:9" ht="30" customHeight="1">
      <c r="A33" s="5" t="s">
        <v>154</v>
      </c>
      <c r="B33" s="5" t="s">
        <v>9</v>
      </c>
      <c r="C33" s="6" t="s">
        <v>155</v>
      </c>
      <c r="D33" s="6" t="s">
        <v>156</v>
      </c>
      <c r="E33" s="6" t="s">
        <v>145</v>
      </c>
      <c r="F33" s="6" t="s">
        <v>146</v>
      </c>
      <c r="G33" s="7" t="s">
        <v>147</v>
      </c>
      <c r="H33" s="7" t="s">
        <v>148</v>
      </c>
      <c r="I33" s="7" t="s">
        <v>157</v>
      </c>
    </row>
    <row r="34" spans="1:9" ht="30" customHeight="1">
      <c r="A34" s="8" t="s">
        <v>158</v>
      </c>
      <c r="B34" s="8" t="s">
        <v>9</v>
      </c>
      <c r="C34" s="9" t="s">
        <v>159</v>
      </c>
      <c r="D34" s="9" t="s">
        <v>160</v>
      </c>
      <c r="E34" s="9" t="s">
        <v>145</v>
      </c>
      <c r="F34" s="9" t="s">
        <v>146</v>
      </c>
      <c r="G34" s="10" t="s">
        <v>147</v>
      </c>
      <c r="H34" s="10" t="s">
        <v>148</v>
      </c>
      <c r="I34" s="10" t="s">
        <v>161</v>
      </c>
    </row>
    <row r="35" spans="1:9" ht="30" customHeight="1">
      <c r="A35" s="5" t="s">
        <v>162</v>
      </c>
      <c r="B35" s="5" t="s">
        <v>18</v>
      </c>
      <c r="C35" s="6" t="s">
        <v>163</v>
      </c>
      <c r="D35" s="6" t="s">
        <v>164</v>
      </c>
      <c r="E35" s="6" t="s">
        <v>145</v>
      </c>
      <c r="F35" s="6" t="s">
        <v>146</v>
      </c>
      <c r="G35" s="7" t="s">
        <v>147</v>
      </c>
      <c r="H35" s="7" t="s">
        <v>148</v>
      </c>
      <c r="I35" s="7" t="s">
        <v>165</v>
      </c>
    </row>
    <row r="36" spans="1:9" ht="30" customHeight="1">
      <c r="A36" s="8" t="s">
        <v>166</v>
      </c>
      <c r="B36" s="8" t="s">
        <v>9</v>
      </c>
      <c r="C36" s="9" t="s">
        <v>167</v>
      </c>
      <c r="D36" s="9" t="s">
        <v>168</v>
      </c>
      <c r="E36" s="9" t="s">
        <v>145</v>
      </c>
      <c r="F36" s="9" t="s">
        <v>146</v>
      </c>
      <c r="G36" s="10" t="s">
        <v>147</v>
      </c>
      <c r="H36" s="10" t="s">
        <v>148</v>
      </c>
      <c r="I36" s="10" t="s">
        <v>169</v>
      </c>
    </row>
    <row r="37" spans="1:9" ht="30" customHeight="1">
      <c r="A37" s="5" t="s">
        <v>170</v>
      </c>
      <c r="B37" s="5" t="s">
        <v>9</v>
      </c>
      <c r="C37" s="6" t="s">
        <v>171</v>
      </c>
      <c r="D37" s="6" t="s">
        <v>172</v>
      </c>
      <c r="E37" s="6" t="s">
        <v>173</v>
      </c>
      <c r="F37" s="6" t="s">
        <v>174</v>
      </c>
      <c r="G37" s="7" t="s">
        <v>175</v>
      </c>
      <c r="H37" s="7" t="s">
        <v>176</v>
      </c>
      <c r="I37" s="7" t="s">
        <v>177</v>
      </c>
    </row>
    <row r="38" spans="1:9" ht="30" customHeight="1">
      <c r="A38" s="8" t="s">
        <v>178</v>
      </c>
      <c r="B38" s="8" t="s">
        <v>9</v>
      </c>
      <c r="C38" s="9" t="s">
        <v>179</v>
      </c>
      <c r="D38" s="9" t="s">
        <v>180</v>
      </c>
      <c r="E38" s="9" t="s">
        <v>173</v>
      </c>
      <c r="F38" s="9" t="s">
        <v>174</v>
      </c>
      <c r="G38" s="10" t="s">
        <v>175</v>
      </c>
      <c r="H38" s="10" t="s">
        <v>176</v>
      </c>
      <c r="I38" s="10" t="s">
        <v>177</v>
      </c>
    </row>
    <row r="39" spans="1:9" ht="30" customHeight="1">
      <c r="A39" s="5" t="s">
        <v>181</v>
      </c>
      <c r="B39" s="5" t="s">
        <v>9</v>
      </c>
      <c r="C39" s="6" t="s">
        <v>182</v>
      </c>
      <c r="D39" s="6" t="s">
        <v>183</v>
      </c>
      <c r="E39" s="6" t="s">
        <v>173</v>
      </c>
      <c r="F39" s="6" t="s">
        <v>174</v>
      </c>
      <c r="G39" s="7" t="s">
        <v>175</v>
      </c>
      <c r="H39" s="7" t="s">
        <v>176</v>
      </c>
      <c r="I39" s="7" t="s">
        <v>177</v>
      </c>
    </row>
    <row r="40" spans="1:9" ht="30" customHeight="1">
      <c r="A40" s="8" t="s">
        <v>184</v>
      </c>
      <c r="B40" s="8" t="s">
        <v>9</v>
      </c>
      <c r="C40" s="9" t="s">
        <v>185</v>
      </c>
      <c r="D40" s="9" t="s">
        <v>186</v>
      </c>
      <c r="E40" s="9" t="s">
        <v>173</v>
      </c>
      <c r="F40" s="9" t="s">
        <v>174</v>
      </c>
      <c r="G40" s="10" t="s">
        <v>175</v>
      </c>
      <c r="H40" s="10" t="s">
        <v>176</v>
      </c>
      <c r="I40" s="10" t="s">
        <v>177</v>
      </c>
    </row>
    <row r="41" spans="1:9" ht="30" customHeight="1">
      <c r="A41" s="5" t="s">
        <v>187</v>
      </c>
      <c r="B41" s="5" t="s">
        <v>9</v>
      </c>
      <c r="C41" s="6" t="s">
        <v>188</v>
      </c>
      <c r="D41" s="6" t="s">
        <v>189</v>
      </c>
      <c r="E41" s="6" t="s">
        <v>190</v>
      </c>
      <c r="F41" s="6" t="s">
        <v>191</v>
      </c>
      <c r="G41" s="7" t="s">
        <v>192</v>
      </c>
      <c r="H41" s="7" t="s">
        <v>193</v>
      </c>
      <c r="I41" s="7" t="s">
        <v>194</v>
      </c>
    </row>
    <row r="42" spans="1:9" ht="30" customHeight="1">
      <c r="A42" s="8" t="s">
        <v>195</v>
      </c>
      <c r="B42" s="8" t="s">
        <v>9</v>
      </c>
      <c r="C42" s="9" t="s">
        <v>196</v>
      </c>
      <c r="D42" s="9" t="s">
        <v>197</v>
      </c>
      <c r="E42" s="9" t="s">
        <v>198</v>
      </c>
      <c r="F42" s="9" t="s">
        <v>199</v>
      </c>
      <c r="G42" s="11" t="s">
        <v>54</v>
      </c>
      <c r="H42" s="10" t="s">
        <v>200</v>
      </c>
      <c r="I42" s="10" t="s">
        <v>201</v>
      </c>
    </row>
    <row r="43" spans="1:9" ht="60" customHeight="1">
      <c r="A43" s="5" t="s">
        <v>202</v>
      </c>
      <c r="B43" s="5" t="s">
        <v>18</v>
      </c>
      <c r="C43" s="6" t="s">
        <v>203</v>
      </c>
      <c r="D43" s="6" t="s">
        <v>204</v>
      </c>
      <c r="E43" s="6" t="s">
        <v>205</v>
      </c>
      <c r="F43" s="6" t="s">
        <v>206</v>
      </c>
      <c r="G43" s="7" t="s">
        <v>207</v>
      </c>
      <c r="H43" s="7" t="s">
        <v>208</v>
      </c>
      <c r="I43" s="7" t="s">
        <v>206</v>
      </c>
    </row>
    <row r="44" spans="1:9" ht="30" customHeight="1">
      <c r="A44" s="8" t="s">
        <v>209</v>
      </c>
      <c r="B44" s="8" t="s">
        <v>9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123</v>
      </c>
      <c r="I44" s="10" t="s">
        <v>213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0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215</v>
      </c>
      <c r="B1" s="1"/>
      <c r="C1" s="1"/>
      <c r="D1" s="1"/>
      <c r="E1" s="1"/>
      <c r="F1" s="1"/>
      <c r="G1" s="1"/>
      <c r="H1" s="1"/>
    </row>
    <row r="2" spans="1:14">
      <c r="A2" s="2" t="s">
        <v>216</v>
      </c>
      <c r="B2" s="3" t="s">
        <v>217</v>
      </c>
      <c r="G2" s="13" t="s">
        <v>245</v>
      </c>
      <c r="H2" s="13">
        <v>1</v>
      </c>
    </row>
    <row r="3" spans="1:14">
      <c r="A3" s="2" t="s">
        <v>218</v>
      </c>
      <c r="B3" s="3" t="s">
        <v>219</v>
      </c>
      <c r="G3" s="14" t="s">
        <v>247</v>
      </c>
      <c r="H3" s="15">
        <f>TotalCost/BoardQty</f>
        <v>0.0</v>
      </c>
    </row>
    <row r="4" spans="1:14">
      <c r="A4" s="2" t="s">
        <v>220</v>
      </c>
      <c r="B4" s="3" t="s">
        <v>54</v>
      </c>
      <c r="G4" s="14" t="s">
        <v>246</v>
      </c>
      <c r="H4" s="16">
        <f>SUM(H10:H45)</f>
        <v>0</v>
      </c>
      <c r="M4" s="16">
        <f>SUM(M10:M45)</f>
        <v>0</v>
      </c>
      <c r="N4" s="17" t="str">
        <f>(COUNTA(M10:M45)&amp;" of "&amp;ROWS(M10:M45)&amp;" parts found")</f>
        <v>0 of 36 parts found</v>
      </c>
    </row>
    <row r="5" spans="1:14">
      <c r="A5" s="2" t="s">
        <v>221</v>
      </c>
      <c r="B5" s="3" t="s">
        <v>222</v>
      </c>
    </row>
    <row r="6" spans="1:14">
      <c r="A6" s="2" t="s">
        <v>223</v>
      </c>
      <c r="B6" s="3" t="s">
        <v>224</v>
      </c>
    </row>
    <row r="8" spans="1:14">
      <c r="A8" s="18" t="s">
        <v>231</v>
      </c>
      <c r="B8" s="18"/>
      <c r="C8" s="18"/>
      <c r="D8" s="18"/>
      <c r="E8" s="18"/>
      <c r="F8" s="18"/>
      <c r="G8" s="18"/>
      <c r="H8" s="18"/>
      <c r="I8" s="19" t="s">
        <v>237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232</v>
      </c>
      <c r="E9" s="20" t="s">
        <v>233</v>
      </c>
      <c r="F9" s="20" t="s">
        <v>234</v>
      </c>
      <c r="G9" s="20" t="s">
        <v>235</v>
      </c>
      <c r="H9" s="20" t="s">
        <v>236</v>
      </c>
      <c r="I9" s="20" t="s">
        <v>238</v>
      </c>
      <c r="J9" s="20" t="s">
        <v>239</v>
      </c>
      <c r="K9" s="20" t="s">
        <v>235</v>
      </c>
      <c r="L9" s="20" t="s">
        <v>240</v>
      </c>
      <c r="M9" s="20" t="s">
        <v>236</v>
      </c>
      <c r="N9" s="20" t="s">
        <v>241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119</v>
      </c>
      <c r="C28" s="21" t="s">
        <v>121</v>
      </c>
      <c r="D28" s="21" t="s">
        <v>123</v>
      </c>
      <c r="E28" s="21" t="s">
        <v>119</v>
      </c>
      <c r="F28" s="21">
        <f>BoardQty*1</f>
        <v>1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125</v>
      </c>
      <c r="B29" s="21" t="s">
        <v>28</v>
      </c>
      <c r="C29" s="21" t="s">
        <v>127</v>
      </c>
      <c r="D29" s="21" t="s">
        <v>36</v>
      </c>
      <c r="E29" s="21" t="s">
        <v>129</v>
      </c>
      <c r="F29" s="21">
        <f>CEILING(BoardQty*2,1)</f>
        <v>2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131</v>
      </c>
      <c r="B30" s="21" t="s">
        <v>132</v>
      </c>
      <c r="C30" s="21" t="s">
        <v>132</v>
      </c>
      <c r="D30" s="21" t="s">
        <v>134</v>
      </c>
      <c r="E30" s="21" t="s">
        <v>135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137</v>
      </c>
      <c r="B31" s="21" t="s">
        <v>138</v>
      </c>
      <c r="C31" s="21" t="s">
        <v>138</v>
      </c>
      <c r="D31" s="21" t="s">
        <v>141</v>
      </c>
      <c r="E31" s="21" t="s">
        <v>138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143</v>
      </c>
      <c r="B32" s="21" t="s">
        <v>144</v>
      </c>
      <c r="C32" s="21" t="s">
        <v>146</v>
      </c>
      <c r="D32" s="21" t="s">
        <v>148</v>
      </c>
      <c r="E32" s="21" t="s">
        <v>149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151</v>
      </c>
      <c r="B33" s="21" t="s">
        <v>152</v>
      </c>
      <c r="C33" s="21" t="s">
        <v>146</v>
      </c>
      <c r="D33" s="21" t="s">
        <v>148</v>
      </c>
      <c r="E33" s="21" t="s">
        <v>153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155</v>
      </c>
      <c r="B34" s="21" t="s">
        <v>156</v>
      </c>
      <c r="C34" s="21" t="s">
        <v>146</v>
      </c>
      <c r="D34" s="21" t="s">
        <v>148</v>
      </c>
      <c r="E34" s="21" t="s">
        <v>157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159</v>
      </c>
      <c r="B35" s="21" t="s">
        <v>160</v>
      </c>
      <c r="C35" s="21" t="s">
        <v>146</v>
      </c>
      <c r="D35" s="21" t="s">
        <v>148</v>
      </c>
      <c r="E35" s="21" t="s">
        <v>161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163</v>
      </c>
      <c r="B36" s="21" t="s">
        <v>164</v>
      </c>
      <c r="C36" s="21" t="s">
        <v>146</v>
      </c>
      <c r="D36" s="21" t="s">
        <v>148</v>
      </c>
      <c r="E36" s="21" t="s">
        <v>165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167</v>
      </c>
      <c r="B37" s="21" t="s">
        <v>168</v>
      </c>
      <c r="C37" s="21" t="s">
        <v>146</v>
      </c>
      <c r="D37" s="21" t="s">
        <v>148</v>
      </c>
      <c r="E37" s="21" t="s">
        <v>169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171</v>
      </c>
      <c r="B38" s="21" t="s">
        <v>172</v>
      </c>
      <c r="C38" s="21" t="s">
        <v>174</v>
      </c>
      <c r="D38" s="21" t="s">
        <v>176</v>
      </c>
      <c r="E38" s="21" t="s">
        <v>177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179</v>
      </c>
      <c r="B39" s="21" t="s">
        <v>180</v>
      </c>
      <c r="C39" s="21" t="s">
        <v>174</v>
      </c>
      <c r="D39" s="21" t="s">
        <v>176</v>
      </c>
      <c r="E39" s="21" t="s">
        <v>177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182</v>
      </c>
      <c r="B40" s="21" t="s">
        <v>183</v>
      </c>
      <c r="C40" s="21" t="s">
        <v>174</v>
      </c>
      <c r="D40" s="21" t="s">
        <v>176</v>
      </c>
      <c r="E40" s="21" t="s">
        <v>177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185</v>
      </c>
      <c r="B41" s="21" t="s">
        <v>186</v>
      </c>
      <c r="C41" s="21" t="s">
        <v>174</v>
      </c>
      <c r="D41" s="21" t="s">
        <v>176</v>
      </c>
      <c r="E41" s="21" t="s">
        <v>177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188</v>
      </c>
      <c r="B42" s="21" t="s">
        <v>189</v>
      </c>
      <c r="C42" s="21" t="s">
        <v>191</v>
      </c>
      <c r="D42" s="21" t="s">
        <v>193</v>
      </c>
      <c r="E42" s="21" t="s">
        <v>194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196</v>
      </c>
      <c r="B43" s="21" t="s">
        <v>197</v>
      </c>
      <c r="C43" s="21" t="s">
        <v>199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208</v>
      </c>
      <c r="E44" s="21" t="s">
        <v>206</v>
      </c>
      <c r="F44" s="21">
        <f>CEILING(BoardQty*2,1)</f>
        <v>2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123</v>
      </c>
      <c r="E45" s="21" t="s">
        <v>213</v>
      </c>
      <c r="F45" s="21">
        <f>BoardQty*1</f>
        <v>1</v>
      </c>
      <c r="G45" s="22">
        <f>IF(MIN(K45)&lt;&gt;0,MIN(K45),"")</f>
        <v/>
      </c>
      <c r="H45" s="23">
        <f>IF(AND(ISNUMBER(F45),ISNUMBER(G45)),F45*G45,"")</f>
        <v/>
      </c>
    </row>
    <row r="47" spans="1:13">
      <c r="G47" s="14" t="s">
        <v>243</v>
      </c>
      <c r="H47" s="16">
        <f>SUM(M47)</f>
        <v>0</v>
      </c>
      <c r="I47" s="24" t="s">
        <v>242</v>
      </c>
      <c r="J47" s="17">
        <f>IFERROR(IF(COUNTIF(J10:J45,"&gt;0")&gt;0,COUNTIF(J10:J45,"&gt;0")&amp;" of "&amp;(ROWS(L10:L45)-COUNTBLANK(L10:L45))&amp;" parts purchased",""),"")</f>
        <v/>
      </c>
      <c r="M47" s="16">
        <f>SUMIF(J10:J45,"&gt;0",M10:M45)</f>
        <v>0</v>
      </c>
    </row>
    <row r="48" spans="1:13">
      <c r="A48" s="25" t="s">
        <v>248</v>
      </c>
      <c r="B48" s="26" t="s">
        <v>249</v>
      </c>
      <c r="G48" s="27" t="s">
        <v>244</v>
      </c>
      <c r="J48" s="28">
        <f>CONCATENATE(J85,J86,J87,J88,J89,J90,J91,J92,J93,J94,J95,J96,J97,J98,J99,J100,J101,J102,J103,J104,J105,J106,J107,J108,J109,J110,J111,J112,J113,J114,J115,J116,J117,J118,J119,J120)</f>
        <v/>
      </c>
    </row>
    <row r="49" spans="1:1">
      <c r="A49" s="29" t="s">
        <v>250</v>
      </c>
    </row>
    <row r="85" spans="10:10" ht="30" hidden="1" customHeight="1">
      <c r="J85" t="str">
        <f t="array" ref="J85:J120">IF(ISNUMBER(J10:J45)*(J10:J45&gt;=L10:L45)*(N10:N45&lt;&gt;""),N10:N45&amp;"|"&amp;TEXT(ROUNDUP(J10:J45/IF(ISNUMBER(L10:L45),L10:L45,1),0)*L10:L45,"##0")&amp;"|"&amp;SUBSTITUTE(SUBSTITUTE(SUBSTITUTE(IF(PURCHASE_DESCRIPTION&lt;&gt;"",PURCHASE_DESCRIPTION&amp;":","")&amp;A10:A45,"|",";")," ","_"),"
","_")&amp;CHAR(13),"")</f>
        <v/>
      </c>
    </row>
    <row r="86" spans="10:10" ht="30" hidden="1" customHeight="1">
      <c r="J86">
        <v>0</v>
      </c>
    </row>
    <row r="87" spans="10:10" ht="30" hidden="1" customHeight="1">
      <c r="J87">
        <v>0</v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</sheetData>
  <mergeCells count="4">
    <mergeCell ref="A8:H8"/>
    <mergeCell ref="I8:N8"/>
    <mergeCell ref="J48:M84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I47" r:id="rId37"/>
  </hyperlinks>
  <pageMargins left="0.7" right="0.7" top="0.75" bottom="0.75" header="0.3" footer="0.3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251</v>
      </c>
    </row>
    <row r="2" spans="1:1">
      <c r="A2" s="6" t="s">
        <v>252</v>
      </c>
    </row>
    <row r="3" spans="1:1">
      <c r="A3" s="5" t="s">
        <v>253</v>
      </c>
    </row>
    <row r="4" spans="1:1">
      <c r="A4" s="7" t="s">
        <v>254</v>
      </c>
    </row>
    <row r="5" spans="1:1">
      <c r="A5" s="12" t="s">
        <v>255</v>
      </c>
    </row>
    <row r="7" spans="1:1">
      <c r="A7" t="s">
        <v>256</v>
      </c>
    </row>
    <row r="8" spans="1:1">
      <c r="A8" s="30" t="s">
        <v>257</v>
      </c>
    </row>
    <row r="9" spans="1:1">
      <c r="A9" s="31" t="s">
        <v>258</v>
      </c>
    </row>
    <row r="10" spans="1:1">
      <c r="A10" s="32" t="s">
        <v>259</v>
      </c>
    </row>
    <row r="11" spans="1:1">
      <c r="A11" s="33" t="s">
        <v>260</v>
      </c>
    </row>
    <row r="12" spans="1:1">
      <c r="A12" s="34" t="s">
        <v>261</v>
      </c>
    </row>
    <row r="13" spans="1:1">
      <c r="A13" s="35" t="s">
        <v>262</v>
      </c>
    </row>
    <row r="14" spans="1:1">
      <c r="A14" s="36" t="s">
        <v>263</v>
      </c>
    </row>
    <row r="15" spans="1:1">
      <c r="A15" s="37" t="s">
        <v>264</v>
      </c>
    </row>
    <row r="16" spans="1:1">
      <c r="A16" s="38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2026-10-14T21:07:43Z</dcterms:created>
  <dcterms:modified xsi:type="dcterms:W3CDTF">2026-10-14T21:07:43Z</dcterms:modified>
</cp:coreProperties>
</file>