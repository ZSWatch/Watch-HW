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'Costs'!$H$49</definedName>
    <definedName name="TotalCost" localSheetId="1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48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48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49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<sst xmlns="http://schemas.openxmlformats.org/spreadsheetml/2006/main" count="596" uniqueCount="273">
  <si>
    <t>Row</t>
  </si>
  <si>
    <t>Quantity Per PCB</t>
  </si>
  <si>
    <t>References</t>
  </si>
  <si>
    <t>Value</t>
  </si>
  <si>
    <t>Datasheet</t>
  </si>
  <si>
    <t>Footprint</t>
  </si>
  <si>
    <t>Description</t>
  </si>
  <si>
    <t>manf</t>
  </si>
  <si>
    <t>manf#</t>
  </si>
  <si>
    <t>1</t>
  </si>
  <si>
    <t>13</t>
  </si>
  <si>
    <t>C402 C501 C502 C503 C504 C507 C508 C509 C510 C511 C602 C603 C604</t>
  </si>
  <si>
    <t>100n</t>
  </si>
  <si>
    <t>https://datasheets.kyocera-avx.com/cx5r-KGM.pdf</t>
  </si>
  <si>
    <t>C_0201_0603Metric</t>
  </si>
  <si>
    <t>Unpolarized capacitor, small symbol</t>
  </si>
  <si>
    <t>KYOCERA AVX</t>
  </si>
  <si>
    <t>02016D104MAT4A</t>
  </si>
  <si>
    <t>2</t>
  </si>
  <si>
    <t>C505</t>
  </si>
  <si>
    <t>220n</t>
  </si>
  <si>
    <t>0201ZD224KAT2A</t>
  </si>
  <si>
    <t>3</t>
  </si>
  <si>
    <t>C401 C405 C601</t>
  </si>
  <si>
    <t>1u</t>
  </si>
  <si>
    <t>KGM03BR50J105KH</t>
  </si>
  <si>
    <t>4</t>
  </si>
  <si>
    <t>C403</t>
  </si>
  <si>
    <t>2u2</t>
  </si>
  <si>
    <t>https://datasheets.kyocera-avx.com/cx5r.pdf</t>
  </si>
  <si>
    <t>C_0402_1005Metric</t>
  </si>
  <si>
    <t>0402ZD225MAT2A</t>
  </si>
  <si>
    <t>5</t>
  </si>
  <si>
    <t>C404 C406 C408 C506 C512</t>
  </si>
  <si>
    <t>10u</t>
  </si>
  <si>
    <t>https://search.murata.co.jp/Ceramy/image/img/A01X/G101/ENG/GRJ155R60J106ME11-02A.pdf</t>
  </si>
  <si>
    <t>Murata Electronics</t>
  </si>
  <si>
    <t>GRJ155R60J106ME11D</t>
  </si>
  <si>
    <t>6</t>
  </si>
  <si>
    <t>C407 C409 C410</t>
  </si>
  <si>
    <t>C_0603_1608Metric</t>
  </si>
  <si>
    <t>KGM15CR50J106MT</t>
  </si>
  <si>
    <t>7</t>
  </si>
  <si>
    <t>IC501</t>
  </si>
  <si>
    <t>APDS-9306-065</t>
  </si>
  <si>
    <t>https://docs.broadcom.com/docs/AV02-4755EN</t>
  </si>
  <si>
    <t>Broadcom_DFN-6_2x2mm_P0.65mm</t>
  </si>
  <si>
    <t>Ambient Light Sensor, I2C interface, 1.7-3.6V, DFN-6</t>
  </si>
  <si>
    <t>Broadcom / Avago</t>
  </si>
  <si>
    <t>8</t>
  </si>
  <si>
    <t>IC502</t>
  </si>
  <si>
    <t>BMI270</t>
  </si>
  <si>
    <t>https://www.bosch-sensortec.com/media/boschsensortec/downloads/datasheets/bst-bmi270-ds000.pdf</t>
  </si>
  <si>
    <t>Bosch_LGA-14_3x2.5mm_P0.5mm_LayoutBorder3x4y</t>
  </si>
  <si>
    <t/>
  </si>
  <si>
    <t>Bosch</t>
  </si>
  <si>
    <t>9</t>
  </si>
  <si>
    <t>IC504</t>
  </si>
  <si>
    <t>BMP581</t>
  </si>
  <si>
    <t>https://www.bosch-sensortec.com/media/boschsensortec/downloads/datasheets/bst-bmp581-ds004.pdf</t>
  </si>
  <si>
    <t>Bosch_LGA-10_2x2mm_P0.5mm_ClockwisePinNumbering</t>
  </si>
  <si>
    <t>10</t>
  </si>
  <si>
    <t>IC505</t>
  </si>
  <si>
    <t>DRV2603RUNT</t>
  </si>
  <si>
    <t>https://www.ti.com/lit/ds/symlink/drv2603.pdf?HQS=dis-mous-null-mousermode-dsf-pf-null-wwe&amp;ts=1692200896697&amp;ref_url=https%253A%252F%252Feu.mouser.com%252F</t>
  </si>
  <si>
    <t>WQFN-10_2x2mm_P0.5mm</t>
  </si>
  <si>
    <t>Texas Instruments</t>
  </si>
  <si>
    <t>11</t>
  </si>
  <si>
    <t>IC601</t>
  </si>
  <si>
    <t>FAN5622SX</t>
  </si>
  <si>
    <t>https://www.onsemi.com/download/data-sheet/pdf/fan5626-d.pdf</t>
  </si>
  <si>
    <t>TSOT-23-6</t>
  </si>
  <si>
    <t>onsemi / Fairchild</t>
  </si>
  <si>
    <t>12</t>
  </si>
  <si>
    <t>IC503</t>
  </si>
  <si>
    <t>LIS2MDLTR</t>
  </si>
  <si>
    <t>http://www.st.com/content/ccc/resource/technical/document/datasheet/group3/29/13/d1/e0/9a/4d/4f/30/DM00395193/files/DM00395193.pdf/jcr:content/translations/en.DM00395193.pdf</t>
  </si>
  <si>
    <t>LGA-12_2x2mm_P0.5mm</t>
  </si>
  <si>
    <t>STMicroelectronics</t>
  </si>
  <si>
    <t>IC603</t>
  </si>
  <si>
    <t>MX25U51245GZ4I00</t>
  </si>
  <si>
    <t>https://www.mouser.de/datasheet/2/819/MX25U51245G_2c_1_8V_2c_512Mb_2c_v1_4-3371129.pdf</t>
  </si>
  <si>
    <t>WSON-8-1EP_8x6mm_P1.27mm_EP3.4x4.3mm</t>
  </si>
  <si>
    <t>Macronix</t>
  </si>
  <si>
    <t>14</t>
  </si>
  <si>
    <t>IC604</t>
  </si>
  <si>
    <t>NTS0104GU12</t>
  </si>
  <si>
    <t>https://www.nxp.com/docs/en/data-sheet/NTS0104.pdf</t>
  </si>
  <si>
    <t>XQFN-12-1.7x2mm_P0.4mm</t>
  </si>
  <si>
    <t>NXP Semiconductors</t>
  </si>
  <si>
    <t>NTS0104GU12,115</t>
  </si>
  <si>
    <t>15</t>
  </si>
  <si>
    <t>IC506</t>
  </si>
  <si>
    <t>PCA9306JK</t>
  </si>
  <si>
    <t>https://www.nxp.com/docs/en/data-sheet/PCA9306.pdf</t>
  </si>
  <si>
    <t>XSON-8_0.65x0.17mm_P0.35mm</t>
  </si>
  <si>
    <t>Dual bidirectional I2C Bus and SMBus voltage level translator</t>
  </si>
  <si>
    <t>PCA9306JKZ</t>
  </si>
  <si>
    <t>16</t>
  </si>
  <si>
    <t>IC507</t>
  </si>
  <si>
    <t>RV-8263-C8</t>
  </si>
  <si>
    <t>https://www.microcrystal.com/fileadmin/Media/Products/RTC/Datasheet/RV-8263-C8.pdf</t>
  </si>
  <si>
    <t>Micro Crystal</t>
  </si>
  <si>
    <t>RV-8263-C8 32.768kHz-20PPM-TA-QA</t>
  </si>
  <si>
    <t>17</t>
  </si>
  <si>
    <t>IC602</t>
  </si>
  <si>
    <t>USBLC6-2P6</t>
  </si>
  <si>
    <t>https://www.st.com/resource/en/datasheet/usblc6-2.pdf</t>
  </si>
  <si>
    <t>SOT-666</t>
  </si>
  <si>
    <t>Very low capacitance ESD protection diode, 2 data-line, SOT-666</t>
  </si>
  <si>
    <t>18</t>
  </si>
  <si>
    <t>IC401</t>
  </si>
  <si>
    <t>nPM1300-QEXX</t>
  </si>
  <si>
    <t>https://infocenter.nordicsemi.com/index.jsp?topic=%2Fstruct_pmic%2Fstruct%2Fnpm1300.html</t>
  </si>
  <si>
    <t>QFN-32-1EP_5x5mm_P0.5mm_EP3.6x3.6mm</t>
  </si>
  <si>
    <t>Nordic Semiconductor</t>
  </si>
  <si>
    <t>nPM1300-QEAA-R7</t>
  </si>
  <si>
    <t>19</t>
  </si>
  <si>
    <t>L401 L402</t>
  </si>
  <si>
    <t>https://www.mouser.de/datasheet/3/76/1/JELF243B-9121.pdf</t>
  </si>
  <si>
    <t>L_0603_1608Metric</t>
  </si>
  <si>
    <t>Inductor</t>
  </si>
  <si>
    <t>LQM18PZ2R2MDHD</t>
  </si>
  <si>
    <t>20</t>
  </si>
  <si>
    <t>LS801</t>
  </si>
  <si>
    <t>Speaker</t>
  </si>
  <si>
    <t>https://www.mouser.de/datasheet/3/6118/1/cmr_12062s_67.pdf</t>
  </si>
  <si>
    <t>CMR-12062S-67</t>
  </si>
  <si>
    <t>Same Sky</t>
  </si>
  <si>
    <t>21</t>
  </si>
  <si>
    <t>M601</t>
  </si>
  <si>
    <t>NORA-B106</t>
  </si>
  <si>
    <t>https://www.u-blox.com/docs/UBX-20027119</t>
  </si>
  <si>
    <t>u-blox</t>
  </si>
  <si>
    <t>NORA-B106-00B</t>
  </si>
  <si>
    <t>22</t>
  </si>
  <si>
    <t>MK501</t>
  </si>
  <si>
    <t>SPK0641HT4H-1</t>
  </si>
  <si>
    <t>https://www.knowles.com/docs/default-source/default-document-library/sph0645lm4h-1-datasheet.pdf</t>
  </si>
  <si>
    <t>Digital MEMS Microphone</t>
  </si>
  <si>
    <t>Knowles</t>
  </si>
  <si>
    <t>23</t>
  </si>
  <si>
    <t>R501 R502</t>
  </si>
  <si>
    <t>1k8</t>
  </si>
  <si>
    <t>https://www.mouser.com/catalog/specsheets/YAGEO_PYu_RC_Group_51_RoHS_L_12.pdf</t>
  </si>
  <si>
    <t>R_0201_0603Metric</t>
  </si>
  <si>
    <t>Resistor, small symbol</t>
  </si>
  <si>
    <t>YAGEO</t>
  </si>
  <si>
    <t>RC0201JR-071K8L</t>
  </si>
  <si>
    <t>24</t>
  </si>
  <si>
    <t>R504 R505</t>
  </si>
  <si>
    <t>3k3</t>
  </si>
  <si>
    <t>RC0201JR-073K3L</t>
  </si>
  <si>
    <t>25</t>
  </si>
  <si>
    <t>R601</t>
  </si>
  <si>
    <t>12k</t>
  </si>
  <si>
    <t>RC0201JR-0712KL</t>
  </si>
  <si>
    <t>26</t>
  </si>
  <si>
    <t>R407</t>
  </si>
  <si>
    <t>47k</t>
  </si>
  <si>
    <t>RC0201JR-0747KL</t>
  </si>
  <si>
    <t>27</t>
  </si>
  <si>
    <t>R408 R613</t>
  </si>
  <si>
    <t>100k</t>
  </si>
  <si>
    <t>RC0201JR-07100KL</t>
  </si>
  <si>
    <t>28</t>
  </si>
  <si>
    <t>R506</t>
  </si>
  <si>
    <t>200k</t>
  </si>
  <si>
    <t>RC0201JR-07200KL</t>
  </si>
  <si>
    <t>29</t>
  </si>
  <si>
    <t>S501</t>
  </si>
  <si>
    <t>SW1</t>
  </si>
  <si>
    <t>https://www.we-online.com/components/products/datasheet/436333033816.pdf</t>
  </si>
  <si>
    <t>43633303381_NoMountingPads</t>
  </si>
  <si>
    <t>Push button switch, generic, two pins</t>
  </si>
  <si>
    <t>Wurth Elektronik</t>
  </si>
  <si>
    <t>436333033816</t>
  </si>
  <si>
    <t>30</t>
  </si>
  <si>
    <t>S502</t>
  </si>
  <si>
    <t>SW2</t>
  </si>
  <si>
    <t>31</t>
  </si>
  <si>
    <t>S503</t>
  </si>
  <si>
    <t>SW3</t>
  </si>
  <si>
    <t>32</t>
  </si>
  <si>
    <t>S504</t>
  </si>
  <si>
    <t>SW4</t>
  </si>
  <si>
    <t>33</t>
  </si>
  <si>
    <t>X402</t>
  </si>
  <si>
    <t>Battery</t>
  </si>
  <si>
    <t>https://www.mouser.com/catalog/specsheets/JST_SM02B-SRSS-TB_LF_SN_eSR_SZ.pdf</t>
  </si>
  <si>
    <t>JST_SH_SM02B-SRSS-TB_1x02-1MP_P1.00mm_Horizontal</t>
  </si>
  <si>
    <t>Generic connector, single row, 01x02, script generated (kicad-library-utils/schlib/autogen/connector/)</t>
  </si>
  <si>
    <t>JST Commercial</t>
  </si>
  <si>
    <t>SM02B-SRSS-TB</t>
  </si>
  <si>
    <t>34</t>
  </si>
  <si>
    <t>X603</t>
  </si>
  <si>
    <t>Device</t>
  </si>
  <si>
    <t>https://www.usb.org/sites/default/files/documents/usb_type-c.zip</t>
  </si>
  <si>
    <t>USB_C_Receptacle_Amphenol_12401610E4-2A</t>
  </si>
  <si>
    <t>USB Full-Featured Type-C Receptacle connector</t>
  </si>
  <si>
    <t>Amphenol Commercial Products</t>
  </si>
  <si>
    <t>12401610E4#2A</t>
  </si>
  <si>
    <t>35</t>
  </si>
  <si>
    <t>X608</t>
  </si>
  <si>
    <t>Display</t>
  </si>
  <si>
    <t>https://www.buydisplay.com/download/manual/ER-TFT1.28-2_Datasheet.pdf</t>
  </si>
  <si>
    <t>ER-CON0.4-24P</t>
  </si>
  <si>
    <t>EastRising</t>
  </si>
  <si>
    <t>OK-24F024-04</t>
  </si>
  <si>
    <t>36</t>
  </si>
  <si>
    <t>X701 X702</t>
  </si>
  <si>
    <t>MB1</t>
  </si>
  <si>
    <t>https://cdn.amphenol-cs.com/media/wysiwyg/files/drawing/101r014fb110.pdf</t>
  </si>
  <si>
    <t>101R014FB110</t>
  </si>
  <si>
    <t>Generic connector, double row, 02x07, top/bottom pin numbering scheme (row 1: 1...pins_per_row, row2: pins_per_row+1 ... num_pins), script generated (kicad-library-utils/schlib/autogen/connector/)</t>
  </si>
  <si>
    <t>Amphenol Aorora</t>
  </si>
  <si>
    <t>37</t>
  </si>
  <si>
    <t>X509</t>
  </si>
  <si>
    <t>Motor</t>
  </si>
  <si>
    <t>https://www.molex.com/en-us/products/part-detail-pdf/781710002?display=pdf</t>
  </si>
  <si>
    <t>78171-0002</t>
  </si>
  <si>
    <t>Molex</t>
  </si>
  <si>
    <t>Bill of Materials</t>
  </si>
  <si>
    <t>Schematic:</t>
  </si>
  <si>
    <t>ZSWatch-Watch</t>
  </si>
  <si>
    <t>Variant:</t>
  </si>
  <si>
    <t>RELEASED</t>
  </si>
  <si>
    <t>Revision:</t>
  </si>
  <si>
    <t>Date:</t>
  </si>
  <si>
    <t>2025-07-13</t>
  </si>
  <si>
    <t>KiCad Version:</t>
  </si>
  <si>
    <t>9.0.7+1</t>
  </si>
  <si>
    <t>Component Groups:</t>
  </si>
  <si>
    <t>Component Count:</t>
  </si>
  <si>
    <t>62 (58 SMD/ 4 THT)</t>
  </si>
  <si>
    <t>Fitted Components:</t>
  </si>
  <si>
    <t>Number of PCBs:</t>
  </si>
  <si>
    <t>Total Components:</t>
  </si>
  <si>
    <t>Global Part Info</t>
  </si>
  <si>
    <t>Manf</t>
  </si>
  <si>
    <t>Manf#</t>
  </si>
  <si>
    <t>Build Quantity</t>
  </si>
  <si>
    <t>Unit$</t>
  </si>
  <si>
    <t>Ext$</t>
  </si>
  <si>
    <t>Mouser</t>
  </si>
  <si>
    <t>Avail</t>
  </si>
  <si>
    <t>Purch</t>
  </si>
  <si>
    <t>MOQ</t>
  </si>
  <si>
    <t>Cat#</t>
  </si>
  <si>
    <t>Buy here</t>
  </si>
  <si>
    <t>Total Purchase:</t>
  </si>
  <si>
    <t>Purchase description:</t>
  </si>
  <si>
    <t>Board Qty:</t>
  </si>
  <si>
    <t>Total Cost:</t>
  </si>
  <si>
    <t>Unit Cost:</t>
  </si>
  <si>
    <t>Created:</t>
  </si>
  <si>
    <t>2026-02-21 12:41:46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</si>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</sst>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1" applyAlignment="1" applyProtection="1"/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left" vertical="center"/>
    </xf>
    <xf numFmtId="0" fontId="0" fillId="12" borderId="0" xfId="0" applyFill="1"/>
    <xf numFmtId="0" fontId="0" fillId="13" borderId="0" xfId="0" applyFill="1"/>
    <xf numFmtId="0" fontId="12" fillId="14" borderId="0" xfId="0" applyFont="1" applyFill="1"/>
    <xf numFmtId="0" fontId="12" fillId="15" borderId="0" xfId="0" applyFont="1" applyFill="1"/>
    <xf numFmtId="0" fontId="0" fillId="16" borderId="0" xfId="0" applyFill="1"/>
    <xf numFmtId="0" fontId="13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4"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user.de/datasheet/3/76/1/JELF243B-9121.pdf" TargetMode="External"/><Relationship Id="rId20" Type="http://schemas.openxmlformats.org/officeDocument/2006/relationships/hyperlink" Target="https://www.mouser.de/datasheet/3/6118/1/cmr_12062s_67.pdf" TargetMode="External"/><Relationship Id="rId21" Type="http://schemas.openxmlformats.org/officeDocument/2006/relationships/hyperlink" Target="https://www.u-blox.com/docs/UBX-20027119" TargetMode="External"/><Relationship Id="rId22" Type="http://schemas.openxmlformats.org/officeDocument/2006/relationships/hyperlink" Target="https://www.knowles.com/docs/default-source/default-document-library/sph0645lm4h-1-datasheet.pdf" TargetMode="External"/><Relationship Id="rId23" Type="http://schemas.openxmlformats.org/officeDocument/2006/relationships/hyperlink" Target="https://www.mouser.com/catalog/specsheets/YAGEO_PYu_RC_Group_51_RoHS_L_12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we-online.com/components/products/datasheet/436333033816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mouser.com/catalog/specsheets/JST_SM02B-SRSS-TB_LF_SN_eSR_SZ.pdf" TargetMode="External"/><Relationship Id="rId34" Type="http://schemas.openxmlformats.org/officeDocument/2006/relationships/hyperlink" Target="https://www.usb.org/sites/default/files/documents/usb_type-c.zip" TargetMode="External"/><Relationship Id="rId35" Type="http://schemas.openxmlformats.org/officeDocument/2006/relationships/hyperlink" Target="https://www.buydisplay.com/download/manual/ER-TFT1.28-2_Datasheet.pdf" TargetMode="External"/><Relationship Id="rId36" Type="http://schemas.openxmlformats.org/officeDocument/2006/relationships/hyperlink" Target="https://cdn.amphenol-cs.com/media/wysiwyg/files/drawing/101r014fb110.pdf" TargetMode="External"/><Relationship Id="rId37" Type="http://schemas.openxmlformats.org/officeDocument/2006/relationships/hyperlink" Target="https://www.molex.com/en-us/products/part-detail-pdf/781710002?display=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user.de/datasheet/3/76/1/JELF243B-9121.pdf" TargetMode="External"/><Relationship Id="rId20" Type="http://schemas.openxmlformats.org/officeDocument/2006/relationships/hyperlink" Target="https://www.mouser.de/datasheet/3/6118/1/cmr_12062s_67.pdf" TargetMode="External"/><Relationship Id="rId21" Type="http://schemas.openxmlformats.org/officeDocument/2006/relationships/hyperlink" Target="https://www.u-blox.com/docs/UBX-20027119" TargetMode="External"/><Relationship Id="rId22" Type="http://schemas.openxmlformats.org/officeDocument/2006/relationships/hyperlink" Target="https://www.knowles.com/docs/default-source/default-document-library/sph0645lm4h-1-datasheet.pdf" TargetMode="External"/><Relationship Id="rId23" Type="http://schemas.openxmlformats.org/officeDocument/2006/relationships/hyperlink" Target="https://www.mouser.com/catalog/specsheets/YAGEO_PYu_RC_Group_51_RoHS_L_12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we-online.com/components/products/datasheet/436333033816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mouser.com/catalog/specsheets/JST_SM02B-SRSS-TB_LF_SN_eSR_SZ.pdf" TargetMode="External"/><Relationship Id="rId34" Type="http://schemas.openxmlformats.org/officeDocument/2006/relationships/hyperlink" Target="https://www.usb.org/sites/default/files/documents/usb_type-c.zip" TargetMode="External"/><Relationship Id="rId35" Type="http://schemas.openxmlformats.org/officeDocument/2006/relationships/hyperlink" Target="https://www.buydisplay.com/download/manual/ER-TFT1.28-2_Datasheet.pdf" TargetMode="External"/><Relationship Id="rId36" Type="http://schemas.openxmlformats.org/officeDocument/2006/relationships/hyperlink" Target="https://cdn.amphenol-cs.com/media/wysiwyg/files/drawing/101r014fb110.pdf" TargetMode="External"/><Relationship Id="rId37" Type="http://schemas.openxmlformats.org/officeDocument/2006/relationships/hyperlink" Target="https://www.molex.com/en-us/products/part-detail-pdf/781710002?display=pdf" TargetMode="External"/><Relationship Id="rId38" Type="http://schemas.openxmlformats.org/officeDocument/2006/relationships/hyperlink" Target="https://mouser.com/bom/" TargetMode="External"/><Relationship Id="rId39" Type="http://schemas.openxmlformats.org/officeDocument/2006/relationships/vmlDrawing" Target="../drawings/vmlDrawing1.vml"/><Relationship Id="rId40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5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60.7109375" customWidth="1"/>
    <col min="4" max="4" width="21.7109375" customWidth="1"/>
    <col min="5" max="5" width="60.7109375" customWidth="1"/>
    <col min="6" max="6" width="53.7109375" customWidth="1"/>
    <col min="7" max="7" width="60.7109375" customWidth="1"/>
    <col min="8" max="8" width="33.7109375" customWidth="1"/>
    <col min="9" max="9" width="37.7109375" customWidth="1"/>
  </cols>
  <sheetData>
    <row r="1" spans="1:9" ht="32" customHeight="1">
      <c r="A1" s="1" t="s">
        <v>222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223</v>
      </c>
      <c r="B2" s="3" t="s">
        <v>224</v>
      </c>
      <c r="C2" s="2" t="s">
        <v>232</v>
      </c>
      <c r="D2" s="3">
        <v>37</v>
      </c>
    </row>
    <row r="3" spans="1:9">
      <c r="A3" s="2" t="s">
        <v>225</v>
      </c>
      <c r="B3" s="3" t="s">
        <v>226</v>
      </c>
      <c r="C3" s="2" t="s">
        <v>233</v>
      </c>
      <c r="D3" s="3" t="s">
        <v>234</v>
      </c>
    </row>
    <row r="4" spans="1:9">
      <c r="A4" s="2" t="s">
        <v>227</v>
      </c>
      <c r="B4" s="3" t="s">
        <v>54</v>
      </c>
      <c r="C4" s="2" t="s">
        <v>235</v>
      </c>
      <c r="D4" s="3" t="s">
        <v>234</v>
      </c>
    </row>
    <row r="5" spans="1:9">
      <c r="A5" s="2" t="s">
        <v>228</v>
      </c>
      <c r="B5" s="3" t="s">
        <v>229</v>
      </c>
      <c r="C5" s="2" t="s">
        <v>236</v>
      </c>
      <c r="D5" s="3">
        <v>1</v>
      </c>
    </row>
    <row r="6" spans="1:9">
      <c r="A6" s="2" t="s">
        <v>230</v>
      </c>
      <c r="B6" s="3" t="s">
        <v>231</v>
      </c>
      <c r="C6" s="2" t="s">
        <v>237</v>
      </c>
      <c r="D6" s="3">
        <v>62</v>
      </c>
    </row>
    <row r="8" spans="1:9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</row>
    <row r="9" spans="1:9" ht="30" customHeight="1">
      <c r="A9" s="5" t="s">
        <v>9</v>
      </c>
      <c r="B9" s="5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7" t="s">
        <v>15</v>
      </c>
      <c r="H9" s="7" t="s">
        <v>16</v>
      </c>
      <c r="I9" s="7" t="s">
        <v>17</v>
      </c>
    </row>
    <row r="10" spans="1:9">
      <c r="A10" s="8" t="s">
        <v>18</v>
      </c>
      <c r="B10" s="8" t="s">
        <v>9</v>
      </c>
      <c r="C10" s="9" t="s">
        <v>19</v>
      </c>
      <c r="D10" s="9" t="s">
        <v>20</v>
      </c>
      <c r="E10" s="9" t="s">
        <v>13</v>
      </c>
      <c r="F10" s="9" t="s">
        <v>14</v>
      </c>
      <c r="G10" s="10" t="s">
        <v>15</v>
      </c>
      <c r="H10" s="10" t="s">
        <v>16</v>
      </c>
      <c r="I10" s="10" t="s">
        <v>21</v>
      </c>
    </row>
    <row r="11" spans="1:9">
      <c r="A11" s="5" t="s">
        <v>22</v>
      </c>
      <c r="B11" s="5" t="s">
        <v>22</v>
      </c>
      <c r="C11" s="6" t="s">
        <v>23</v>
      </c>
      <c r="D11" s="6" t="s">
        <v>24</v>
      </c>
      <c r="E11" s="6" t="s">
        <v>13</v>
      </c>
      <c r="F11" s="6" t="s">
        <v>14</v>
      </c>
      <c r="G11" s="7" t="s">
        <v>15</v>
      </c>
      <c r="H11" s="7" t="s">
        <v>16</v>
      </c>
      <c r="I11" s="7" t="s">
        <v>25</v>
      </c>
    </row>
    <row r="12" spans="1:9">
      <c r="A12" s="8" t="s">
        <v>26</v>
      </c>
      <c r="B12" s="8" t="s">
        <v>9</v>
      </c>
      <c r="C12" s="9" t="s">
        <v>27</v>
      </c>
      <c r="D12" s="9" t="s">
        <v>28</v>
      </c>
      <c r="E12" s="9" t="s">
        <v>29</v>
      </c>
      <c r="F12" s="9" t="s">
        <v>30</v>
      </c>
      <c r="G12" s="10" t="s">
        <v>15</v>
      </c>
      <c r="H12" s="10" t="s">
        <v>16</v>
      </c>
      <c r="I12" s="10" t="s">
        <v>31</v>
      </c>
    </row>
    <row r="13" spans="1:9" ht="30" customHeight="1">
      <c r="A13" s="5" t="s">
        <v>32</v>
      </c>
      <c r="B13" s="5" t="s">
        <v>32</v>
      </c>
      <c r="C13" s="6" t="s">
        <v>33</v>
      </c>
      <c r="D13" s="6" t="s">
        <v>34</v>
      </c>
      <c r="E13" s="6" t="s">
        <v>35</v>
      </c>
      <c r="F13" s="6" t="s">
        <v>30</v>
      </c>
      <c r="G13" s="7" t="s">
        <v>15</v>
      </c>
      <c r="H13" s="7" t="s">
        <v>36</v>
      </c>
      <c r="I13" s="7" t="s">
        <v>37</v>
      </c>
    </row>
    <row r="14" spans="1:9">
      <c r="A14" s="8" t="s">
        <v>38</v>
      </c>
      <c r="B14" s="8" t="s">
        <v>22</v>
      </c>
      <c r="C14" s="9" t="s">
        <v>39</v>
      </c>
      <c r="D14" s="9" t="s">
        <v>34</v>
      </c>
      <c r="E14" s="9" t="s">
        <v>13</v>
      </c>
      <c r="F14" s="9" t="s">
        <v>40</v>
      </c>
      <c r="G14" s="10" t="s">
        <v>15</v>
      </c>
      <c r="H14" s="10" t="s">
        <v>16</v>
      </c>
      <c r="I14" s="10" t="s">
        <v>41</v>
      </c>
    </row>
    <row r="15" spans="1:9">
      <c r="A15" s="5" t="s">
        <v>42</v>
      </c>
      <c r="B15" s="5" t="s">
        <v>9</v>
      </c>
      <c r="C15" s="6" t="s">
        <v>43</v>
      </c>
      <c r="D15" s="6" t="s">
        <v>44</v>
      </c>
      <c r="E15" s="6" t="s">
        <v>45</v>
      </c>
      <c r="F15" s="6" t="s">
        <v>46</v>
      </c>
      <c r="G15" s="7" t="s">
        <v>47</v>
      </c>
      <c r="H15" s="7" t="s">
        <v>48</v>
      </c>
      <c r="I15" s="7" t="s">
        <v>44</v>
      </c>
    </row>
    <row r="16" spans="1:9" ht="45" customHeight="1">
      <c r="A16" s="8" t="s">
        <v>49</v>
      </c>
      <c r="B16" s="8" t="s">
        <v>9</v>
      </c>
      <c r="C16" s="9" t="s">
        <v>50</v>
      </c>
      <c r="D16" s="9" t="s">
        <v>51</v>
      </c>
      <c r="E16" s="9" t="s">
        <v>52</v>
      </c>
      <c r="F16" s="9" t="s">
        <v>53</v>
      </c>
      <c r="G16" s="11" t="s">
        <v>54</v>
      </c>
      <c r="H16" s="10" t="s">
        <v>55</v>
      </c>
      <c r="I16" s="10" t="s">
        <v>51</v>
      </c>
    </row>
    <row r="17" spans="1:9" ht="45" customHeight="1">
      <c r="A17" s="5" t="s">
        <v>56</v>
      </c>
      <c r="B17" s="5" t="s">
        <v>9</v>
      </c>
      <c r="C17" s="6" t="s">
        <v>57</v>
      </c>
      <c r="D17" s="6" t="s">
        <v>58</v>
      </c>
      <c r="E17" s="6" t="s">
        <v>59</v>
      </c>
      <c r="F17" s="6" t="s">
        <v>60</v>
      </c>
      <c r="G17" s="12" t="s">
        <v>54</v>
      </c>
      <c r="H17" s="7" t="s">
        <v>55</v>
      </c>
      <c r="I17" s="7" t="s">
        <v>58</v>
      </c>
    </row>
    <row r="18" spans="1:9" ht="45" customHeight="1">
      <c r="A18" s="8" t="s">
        <v>61</v>
      </c>
      <c r="B18" s="8" t="s">
        <v>9</v>
      </c>
      <c r="C18" s="9" t="s">
        <v>62</v>
      </c>
      <c r="D18" s="9" t="s">
        <v>63</v>
      </c>
      <c r="E18" s="9" t="s">
        <v>64</v>
      </c>
      <c r="F18" s="9" t="s">
        <v>65</v>
      </c>
      <c r="G18" s="11" t="s">
        <v>54</v>
      </c>
      <c r="H18" s="10" t="s">
        <v>66</v>
      </c>
      <c r="I18" s="10" t="s">
        <v>63</v>
      </c>
    </row>
    <row r="19" spans="1:9">
      <c r="A19" s="5" t="s">
        <v>67</v>
      </c>
      <c r="B19" s="5" t="s">
        <v>9</v>
      </c>
      <c r="C19" s="6" t="s">
        <v>68</v>
      </c>
      <c r="D19" s="6" t="s">
        <v>69</v>
      </c>
      <c r="E19" s="6" t="s">
        <v>70</v>
      </c>
      <c r="F19" s="6" t="s">
        <v>71</v>
      </c>
      <c r="G19" s="12" t="s">
        <v>54</v>
      </c>
      <c r="H19" s="7" t="s">
        <v>72</v>
      </c>
      <c r="I19" s="7" t="s">
        <v>69</v>
      </c>
    </row>
    <row r="20" spans="1:9" ht="45" customHeight="1">
      <c r="A20" s="8" t="s">
        <v>73</v>
      </c>
      <c r="B20" s="8" t="s">
        <v>9</v>
      </c>
      <c r="C20" s="9" t="s">
        <v>74</v>
      </c>
      <c r="D20" s="9" t="s">
        <v>75</v>
      </c>
      <c r="E20" s="9" t="s">
        <v>76</v>
      </c>
      <c r="F20" s="9" t="s">
        <v>77</v>
      </c>
      <c r="G20" s="11" t="s">
        <v>54</v>
      </c>
      <c r="H20" s="10" t="s">
        <v>78</v>
      </c>
      <c r="I20" s="10" t="s">
        <v>75</v>
      </c>
    </row>
    <row r="21" spans="1:9" ht="30" customHeight="1">
      <c r="A21" s="5" t="s">
        <v>10</v>
      </c>
      <c r="B21" s="5" t="s">
        <v>9</v>
      </c>
      <c r="C21" s="6" t="s">
        <v>79</v>
      </c>
      <c r="D21" s="6" t="s">
        <v>80</v>
      </c>
      <c r="E21" s="6" t="s">
        <v>81</v>
      </c>
      <c r="F21" s="6" t="s">
        <v>82</v>
      </c>
      <c r="G21" s="12" t="s">
        <v>54</v>
      </c>
      <c r="H21" s="7" t="s">
        <v>83</v>
      </c>
      <c r="I21" s="7" t="s">
        <v>80</v>
      </c>
    </row>
    <row r="22" spans="1:9">
      <c r="A22" s="8" t="s">
        <v>84</v>
      </c>
      <c r="B22" s="8" t="s">
        <v>9</v>
      </c>
      <c r="C22" s="9" t="s">
        <v>85</v>
      </c>
      <c r="D22" s="9" t="s">
        <v>86</v>
      </c>
      <c r="E22" s="9" t="s">
        <v>87</v>
      </c>
      <c r="F22" s="9" t="s">
        <v>88</v>
      </c>
      <c r="G22" s="11" t="s">
        <v>54</v>
      </c>
      <c r="H22" s="10" t="s">
        <v>89</v>
      </c>
      <c r="I22" s="10" t="s">
        <v>90</v>
      </c>
    </row>
    <row r="23" spans="1:9" ht="30" customHeight="1">
      <c r="A23" s="5" t="s">
        <v>91</v>
      </c>
      <c r="B23" s="5" t="s">
        <v>9</v>
      </c>
      <c r="C23" s="6" t="s">
        <v>92</v>
      </c>
      <c r="D23" s="6" t="s">
        <v>93</v>
      </c>
      <c r="E23" s="6" t="s">
        <v>94</v>
      </c>
      <c r="F23" s="6" t="s">
        <v>95</v>
      </c>
      <c r="G23" s="7" t="s">
        <v>96</v>
      </c>
      <c r="H23" s="7" t="s">
        <v>89</v>
      </c>
      <c r="I23" s="7" t="s">
        <v>97</v>
      </c>
    </row>
    <row r="24" spans="1:9" ht="30" customHeight="1">
      <c r="A24" s="8" t="s">
        <v>98</v>
      </c>
      <c r="B24" s="8" t="s">
        <v>9</v>
      </c>
      <c r="C24" s="9" t="s">
        <v>99</v>
      </c>
      <c r="D24" s="9" t="s">
        <v>100</v>
      </c>
      <c r="E24" s="9" t="s">
        <v>101</v>
      </c>
      <c r="F24" s="9" t="s">
        <v>100</v>
      </c>
      <c r="G24" s="11" t="s">
        <v>54</v>
      </c>
      <c r="H24" s="10" t="s">
        <v>102</v>
      </c>
      <c r="I24" s="10" t="s">
        <v>103</v>
      </c>
    </row>
    <row r="25" spans="1:9" ht="30" customHeight="1">
      <c r="A25" s="5" t="s">
        <v>104</v>
      </c>
      <c r="B25" s="5" t="s">
        <v>9</v>
      </c>
      <c r="C25" s="6" t="s">
        <v>105</v>
      </c>
      <c r="D25" s="6" t="s">
        <v>106</v>
      </c>
      <c r="E25" s="6" t="s">
        <v>107</v>
      </c>
      <c r="F25" s="6" t="s">
        <v>108</v>
      </c>
      <c r="G25" s="7" t="s">
        <v>109</v>
      </c>
      <c r="H25" s="7" t="s">
        <v>78</v>
      </c>
      <c r="I25" s="7" t="s">
        <v>106</v>
      </c>
    </row>
    <row r="26" spans="1:9" ht="30" customHeight="1">
      <c r="A26" s="8" t="s">
        <v>110</v>
      </c>
      <c r="B26" s="8" t="s">
        <v>9</v>
      </c>
      <c r="C26" s="9" t="s">
        <v>111</v>
      </c>
      <c r="D26" s="9" t="s">
        <v>112</v>
      </c>
      <c r="E26" s="9" t="s">
        <v>113</v>
      </c>
      <c r="F26" s="9" t="s">
        <v>114</v>
      </c>
      <c r="G26" s="11" t="s">
        <v>54</v>
      </c>
      <c r="H26" s="10" t="s">
        <v>115</v>
      </c>
      <c r="I26" s="10" t="s">
        <v>116</v>
      </c>
    </row>
    <row r="27" spans="1:9">
      <c r="A27" s="5" t="s">
        <v>117</v>
      </c>
      <c r="B27" s="5" t="s">
        <v>18</v>
      </c>
      <c r="C27" s="6" t="s">
        <v>118</v>
      </c>
      <c r="D27" s="6" t="s">
        <v>28</v>
      </c>
      <c r="E27" s="6" t="s">
        <v>119</v>
      </c>
      <c r="F27" s="6" t="s">
        <v>120</v>
      </c>
      <c r="G27" s="7" t="s">
        <v>121</v>
      </c>
      <c r="H27" s="7" t="s">
        <v>36</v>
      </c>
      <c r="I27" s="7" t="s">
        <v>122</v>
      </c>
    </row>
    <row r="28" spans="1:9">
      <c r="A28" s="8" t="s">
        <v>123</v>
      </c>
      <c r="B28" s="8" t="s">
        <v>9</v>
      </c>
      <c r="C28" s="9" t="s">
        <v>124</v>
      </c>
      <c r="D28" s="9" t="s">
        <v>125</v>
      </c>
      <c r="E28" s="9" t="s">
        <v>126</v>
      </c>
      <c r="F28" s="9" t="s">
        <v>127</v>
      </c>
      <c r="G28" s="10" t="s">
        <v>125</v>
      </c>
      <c r="H28" s="10" t="s">
        <v>128</v>
      </c>
      <c r="I28" s="10" t="s">
        <v>127</v>
      </c>
    </row>
    <row r="29" spans="1:9">
      <c r="A29" s="5" t="s">
        <v>129</v>
      </c>
      <c r="B29" s="5" t="s">
        <v>9</v>
      </c>
      <c r="C29" s="6" t="s">
        <v>130</v>
      </c>
      <c r="D29" s="6" t="s">
        <v>131</v>
      </c>
      <c r="E29" s="6" t="s">
        <v>132</v>
      </c>
      <c r="F29" s="6" t="s">
        <v>131</v>
      </c>
      <c r="G29" s="12" t="s">
        <v>54</v>
      </c>
      <c r="H29" s="7" t="s">
        <v>133</v>
      </c>
      <c r="I29" s="7" t="s">
        <v>134</v>
      </c>
    </row>
    <row r="30" spans="1:9" ht="30" customHeight="1">
      <c r="A30" s="8" t="s">
        <v>135</v>
      </c>
      <c r="B30" s="8" t="s">
        <v>9</v>
      </c>
      <c r="C30" s="9" t="s">
        <v>136</v>
      </c>
      <c r="D30" s="9" t="s">
        <v>137</v>
      </c>
      <c r="E30" s="9" t="s">
        <v>138</v>
      </c>
      <c r="F30" s="9" t="s">
        <v>137</v>
      </c>
      <c r="G30" s="10" t="s">
        <v>139</v>
      </c>
      <c r="H30" s="10" t="s">
        <v>140</v>
      </c>
      <c r="I30" s="10" t="s">
        <v>137</v>
      </c>
    </row>
    <row r="31" spans="1:9" ht="30" customHeight="1">
      <c r="A31" s="5" t="s">
        <v>141</v>
      </c>
      <c r="B31" s="5" t="s">
        <v>18</v>
      </c>
      <c r="C31" s="6" t="s">
        <v>142</v>
      </c>
      <c r="D31" s="6" t="s">
        <v>143</v>
      </c>
      <c r="E31" s="6" t="s">
        <v>144</v>
      </c>
      <c r="F31" s="6" t="s">
        <v>145</v>
      </c>
      <c r="G31" s="7" t="s">
        <v>146</v>
      </c>
      <c r="H31" s="7" t="s">
        <v>147</v>
      </c>
      <c r="I31" s="7" t="s">
        <v>148</v>
      </c>
    </row>
    <row r="32" spans="1:9" ht="30" customHeight="1">
      <c r="A32" s="8" t="s">
        <v>149</v>
      </c>
      <c r="B32" s="8" t="s">
        <v>18</v>
      </c>
      <c r="C32" s="9" t="s">
        <v>150</v>
      </c>
      <c r="D32" s="9" t="s">
        <v>151</v>
      </c>
      <c r="E32" s="9" t="s">
        <v>144</v>
      </c>
      <c r="F32" s="9" t="s">
        <v>145</v>
      </c>
      <c r="G32" s="10" t="s">
        <v>146</v>
      </c>
      <c r="H32" s="10" t="s">
        <v>147</v>
      </c>
      <c r="I32" s="10" t="s">
        <v>152</v>
      </c>
    </row>
    <row r="33" spans="1:9" ht="30" customHeight="1">
      <c r="A33" s="5" t="s">
        <v>153</v>
      </c>
      <c r="B33" s="5" t="s">
        <v>9</v>
      </c>
      <c r="C33" s="6" t="s">
        <v>154</v>
      </c>
      <c r="D33" s="6" t="s">
        <v>155</v>
      </c>
      <c r="E33" s="6" t="s">
        <v>144</v>
      </c>
      <c r="F33" s="6" t="s">
        <v>145</v>
      </c>
      <c r="G33" s="7" t="s">
        <v>146</v>
      </c>
      <c r="H33" s="7" t="s">
        <v>147</v>
      </c>
      <c r="I33" s="7" t="s">
        <v>156</v>
      </c>
    </row>
    <row r="34" spans="1:9" ht="30" customHeight="1">
      <c r="A34" s="8" t="s">
        <v>157</v>
      </c>
      <c r="B34" s="8" t="s">
        <v>9</v>
      </c>
      <c r="C34" s="9" t="s">
        <v>158</v>
      </c>
      <c r="D34" s="9" t="s">
        <v>159</v>
      </c>
      <c r="E34" s="9" t="s">
        <v>144</v>
      </c>
      <c r="F34" s="9" t="s">
        <v>145</v>
      </c>
      <c r="G34" s="10" t="s">
        <v>146</v>
      </c>
      <c r="H34" s="10" t="s">
        <v>147</v>
      </c>
      <c r="I34" s="10" t="s">
        <v>160</v>
      </c>
    </row>
    <row r="35" spans="1:9" ht="30" customHeight="1">
      <c r="A35" s="5" t="s">
        <v>161</v>
      </c>
      <c r="B35" s="5" t="s">
        <v>18</v>
      </c>
      <c r="C35" s="6" t="s">
        <v>162</v>
      </c>
      <c r="D35" s="6" t="s">
        <v>163</v>
      </c>
      <c r="E35" s="6" t="s">
        <v>144</v>
      </c>
      <c r="F35" s="6" t="s">
        <v>145</v>
      </c>
      <c r="G35" s="7" t="s">
        <v>146</v>
      </c>
      <c r="H35" s="7" t="s">
        <v>147</v>
      </c>
      <c r="I35" s="7" t="s">
        <v>164</v>
      </c>
    </row>
    <row r="36" spans="1:9" ht="30" customHeight="1">
      <c r="A36" s="8" t="s">
        <v>165</v>
      </c>
      <c r="B36" s="8" t="s">
        <v>9</v>
      </c>
      <c r="C36" s="9" t="s">
        <v>166</v>
      </c>
      <c r="D36" s="9" t="s">
        <v>167</v>
      </c>
      <c r="E36" s="9" t="s">
        <v>144</v>
      </c>
      <c r="F36" s="9" t="s">
        <v>145</v>
      </c>
      <c r="G36" s="10" t="s">
        <v>146</v>
      </c>
      <c r="H36" s="10" t="s">
        <v>147</v>
      </c>
      <c r="I36" s="10" t="s">
        <v>168</v>
      </c>
    </row>
    <row r="37" spans="1:9" ht="30" customHeight="1">
      <c r="A37" s="5" t="s">
        <v>169</v>
      </c>
      <c r="B37" s="5" t="s">
        <v>9</v>
      </c>
      <c r="C37" s="6" t="s">
        <v>170</v>
      </c>
      <c r="D37" s="6" t="s">
        <v>171</v>
      </c>
      <c r="E37" s="6" t="s">
        <v>172</v>
      </c>
      <c r="F37" s="6" t="s">
        <v>173</v>
      </c>
      <c r="G37" s="7" t="s">
        <v>174</v>
      </c>
      <c r="H37" s="7" t="s">
        <v>175</v>
      </c>
      <c r="I37" s="7" t="s">
        <v>176</v>
      </c>
    </row>
    <row r="38" spans="1:9" ht="30" customHeight="1">
      <c r="A38" s="8" t="s">
        <v>177</v>
      </c>
      <c r="B38" s="8" t="s">
        <v>9</v>
      </c>
      <c r="C38" s="9" t="s">
        <v>178</v>
      </c>
      <c r="D38" s="9" t="s">
        <v>179</v>
      </c>
      <c r="E38" s="9" t="s">
        <v>172</v>
      </c>
      <c r="F38" s="9" t="s">
        <v>173</v>
      </c>
      <c r="G38" s="10" t="s">
        <v>174</v>
      </c>
      <c r="H38" s="10" t="s">
        <v>175</v>
      </c>
      <c r="I38" s="10" t="s">
        <v>176</v>
      </c>
    </row>
    <row r="39" spans="1:9" ht="30" customHeight="1">
      <c r="A39" s="5" t="s">
        <v>180</v>
      </c>
      <c r="B39" s="5" t="s">
        <v>9</v>
      </c>
      <c r="C39" s="6" t="s">
        <v>181</v>
      </c>
      <c r="D39" s="6" t="s">
        <v>182</v>
      </c>
      <c r="E39" s="6" t="s">
        <v>172</v>
      </c>
      <c r="F39" s="6" t="s">
        <v>173</v>
      </c>
      <c r="G39" s="7" t="s">
        <v>174</v>
      </c>
      <c r="H39" s="7" t="s">
        <v>175</v>
      </c>
      <c r="I39" s="7" t="s">
        <v>176</v>
      </c>
    </row>
    <row r="40" spans="1:9" ht="30" customHeight="1">
      <c r="A40" s="8" t="s">
        <v>183</v>
      </c>
      <c r="B40" s="8" t="s">
        <v>9</v>
      </c>
      <c r="C40" s="9" t="s">
        <v>184</v>
      </c>
      <c r="D40" s="9" t="s">
        <v>185</v>
      </c>
      <c r="E40" s="9" t="s">
        <v>172</v>
      </c>
      <c r="F40" s="9" t="s">
        <v>173</v>
      </c>
      <c r="G40" s="10" t="s">
        <v>174</v>
      </c>
      <c r="H40" s="10" t="s">
        <v>175</v>
      </c>
      <c r="I40" s="10" t="s">
        <v>176</v>
      </c>
    </row>
    <row r="41" spans="1:9" ht="30" customHeight="1">
      <c r="A41" s="5" t="s">
        <v>186</v>
      </c>
      <c r="B41" s="5" t="s">
        <v>9</v>
      </c>
      <c r="C41" s="6" t="s">
        <v>187</v>
      </c>
      <c r="D41" s="6" t="s">
        <v>188</v>
      </c>
      <c r="E41" s="6" t="s">
        <v>189</v>
      </c>
      <c r="F41" s="6" t="s">
        <v>190</v>
      </c>
      <c r="G41" s="7" t="s">
        <v>191</v>
      </c>
      <c r="H41" s="7" t="s">
        <v>192</v>
      </c>
      <c r="I41" s="7" t="s">
        <v>193</v>
      </c>
    </row>
    <row r="42" spans="1:9" ht="30" customHeight="1">
      <c r="A42" s="8" t="s">
        <v>194</v>
      </c>
      <c r="B42" s="8" t="s">
        <v>9</v>
      </c>
      <c r="C42" s="9" t="s">
        <v>195</v>
      </c>
      <c r="D42" s="9" t="s">
        <v>196</v>
      </c>
      <c r="E42" s="9" t="s">
        <v>197</v>
      </c>
      <c r="F42" s="9" t="s">
        <v>198</v>
      </c>
      <c r="G42" s="10" t="s">
        <v>199</v>
      </c>
      <c r="H42" s="10" t="s">
        <v>200</v>
      </c>
      <c r="I42" s="10" t="s">
        <v>201</v>
      </c>
    </row>
    <row r="43" spans="1:9" ht="30" customHeight="1">
      <c r="A43" s="5" t="s">
        <v>202</v>
      </c>
      <c r="B43" s="5" t="s">
        <v>9</v>
      </c>
      <c r="C43" s="6" t="s">
        <v>203</v>
      </c>
      <c r="D43" s="6" t="s">
        <v>204</v>
      </c>
      <c r="E43" s="6" t="s">
        <v>205</v>
      </c>
      <c r="F43" s="6" t="s">
        <v>206</v>
      </c>
      <c r="G43" s="12" t="s">
        <v>54</v>
      </c>
      <c r="H43" s="7" t="s">
        <v>207</v>
      </c>
      <c r="I43" s="7" t="s">
        <v>208</v>
      </c>
    </row>
    <row r="44" spans="1:9" ht="60" customHeight="1">
      <c r="A44" s="8" t="s">
        <v>209</v>
      </c>
      <c r="B44" s="8" t="s">
        <v>18</v>
      </c>
      <c r="C44" s="9" t="s">
        <v>210</v>
      </c>
      <c r="D44" s="9" t="s">
        <v>211</v>
      </c>
      <c r="E44" s="9" t="s">
        <v>212</v>
      </c>
      <c r="F44" s="9" t="s">
        <v>213</v>
      </c>
      <c r="G44" s="10" t="s">
        <v>214</v>
      </c>
      <c r="H44" s="10" t="s">
        <v>215</v>
      </c>
      <c r="I44" s="10" t="s">
        <v>213</v>
      </c>
    </row>
    <row r="45" spans="1:9" ht="30" customHeight="1">
      <c r="A45" s="5" t="s">
        <v>216</v>
      </c>
      <c r="B45" s="5" t="s">
        <v>9</v>
      </c>
      <c r="C45" s="6" t="s">
        <v>217</v>
      </c>
      <c r="D45" s="6" t="s">
        <v>218</v>
      </c>
      <c r="E45" s="6" t="s">
        <v>219</v>
      </c>
      <c r="F45" s="6" t="s">
        <v>220</v>
      </c>
      <c r="G45" s="7" t="s">
        <v>191</v>
      </c>
      <c r="H45" s="7" t="s">
        <v>221</v>
      </c>
      <c r="I45" s="7" t="s">
        <v>220</v>
      </c>
    </row>
  </sheetData>
  <mergeCells count="1">
    <mergeCell ref="A1:I1"/>
  </mergeCells>
  <hyperlinks>
    <hyperlink ref="E9" r:id="rId1"/>
    <hyperlink ref="E10" r:id="rId2"/>
    <hyperlink ref="E11" r:id="rId3"/>
    <hyperlink ref="E12" r:id="rId4"/>
    <hyperlink ref="E13" r:id="rId5"/>
    <hyperlink ref="E14" r:id="rId6"/>
    <hyperlink ref="E15" r:id="rId7"/>
    <hyperlink ref="E16" r:id="rId8"/>
    <hyperlink ref="E17" r:id="rId9"/>
    <hyperlink ref="E18" r:id="rId10"/>
    <hyperlink ref="E19" r:id="rId11"/>
    <hyperlink ref="E20" r:id="rId12"/>
    <hyperlink ref="E21" r:id="rId13"/>
    <hyperlink ref="E22" r:id="rId14"/>
    <hyperlink ref="E23" r:id="rId15"/>
    <hyperlink ref="E24" r:id="rId16"/>
    <hyperlink ref="E25" r:id="rId17"/>
    <hyperlink ref="E26" r:id="rId18"/>
    <hyperlink ref="E27" r:id="rId19"/>
    <hyperlink ref="E28" r:id="rId20"/>
    <hyperlink ref="E29" r:id="rId21"/>
    <hyperlink ref="E30" r:id="rId22"/>
    <hyperlink ref="E31" r:id="rId23"/>
    <hyperlink ref="E32" r:id="rId24"/>
    <hyperlink ref="E33" r:id="rId25"/>
    <hyperlink ref="E34" r:id="rId26"/>
    <hyperlink ref="E35" r:id="rId27"/>
    <hyperlink ref="E36" r:id="rId28"/>
    <hyperlink ref="E37" r:id="rId29"/>
    <hyperlink ref="E38" r:id="rId30"/>
    <hyperlink ref="E39" r:id="rId31"/>
    <hyperlink ref="E40" r:id="rId32"/>
    <hyperlink ref="E41" r:id="rId33"/>
    <hyperlink ref="E42" r:id="rId34"/>
    <hyperlink ref="E43" r:id="rId35"/>
    <hyperlink ref="E44" r:id="rId36"/>
    <hyperlink ref="E45" r:id="rId37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23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60.7109375" customWidth="1"/>
    <col min="2" max="2" width="17.7109375" customWidth="1"/>
    <col min="3" max="3" width="49.7109375" customWidth="1" outlineLevel="2"/>
    <col min="4" max="4" width="29.7109375" customWidth="1" outlineLevel="1"/>
    <col min="5" max="5" width="33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222</v>
      </c>
      <c r="B1" s="1"/>
      <c r="C1" s="1"/>
      <c r="D1" s="1"/>
      <c r="E1" s="1"/>
      <c r="F1" s="1"/>
      <c r="G1" s="1"/>
      <c r="H1" s="1"/>
    </row>
    <row r="2" spans="1:14">
      <c r="A2" s="2" t="s">
        <v>223</v>
      </c>
      <c r="B2" s="3" t="s">
        <v>224</v>
      </c>
      <c r="G2" s="13" t="s">
        <v>252</v>
      </c>
      <c r="H2" s="13">
        <v>1</v>
      </c>
    </row>
    <row r="3" spans="1:14">
      <c r="A3" s="2" t="s">
        <v>225</v>
      </c>
      <c r="B3" s="3" t="s">
        <v>226</v>
      </c>
      <c r="G3" s="14" t="s">
        <v>254</v>
      </c>
      <c r="H3" s="15">
        <f>TotalCost/BoardQty</f>
        <v>0.0</v>
      </c>
    </row>
    <row r="4" spans="1:14">
      <c r="A4" s="2" t="s">
        <v>227</v>
      </c>
      <c r="B4" s="3" t="s">
        <v>54</v>
      </c>
      <c r="G4" s="14" t="s">
        <v>253</v>
      </c>
      <c r="H4" s="16">
        <f>SUM(H10:H46)</f>
        <v>0</v>
      </c>
      <c r="M4" s="16">
        <f>SUM(M10:M46)</f>
        <v>0</v>
      </c>
      <c r="N4" s="17" t="str">
        <f>(COUNTA(M10:M46)&amp;" of "&amp;ROWS(M10:M46)&amp;" parts found")</f>
        <v>0 of 37 parts found</v>
      </c>
    </row>
    <row r="5" spans="1:14">
      <c r="A5" s="2" t="s">
        <v>228</v>
      </c>
      <c r="B5" s="3" t="s">
        <v>229</v>
      </c>
    </row>
    <row r="6" spans="1:14">
      <c r="A6" s="2" t="s">
        <v>230</v>
      </c>
      <c r="B6" s="3" t="s">
        <v>231</v>
      </c>
    </row>
    <row r="8" spans="1:14">
      <c r="A8" s="18" t="s">
        <v>238</v>
      </c>
      <c r="B8" s="18"/>
      <c r="C8" s="18"/>
      <c r="D8" s="18"/>
      <c r="E8" s="18"/>
      <c r="F8" s="18"/>
      <c r="G8" s="18"/>
      <c r="H8" s="18"/>
      <c r="I8" s="19" t="s">
        <v>244</v>
      </c>
      <c r="J8" s="19"/>
      <c r="K8" s="19"/>
      <c r="L8" s="19"/>
      <c r="M8" s="19"/>
      <c r="N8" s="19"/>
    </row>
    <row r="9" spans="1:14">
      <c r="A9" s="20" t="s">
        <v>2</v>
      </c>
      <c r="B9" s="20" t="s">
        <v>3</v>
      </c>
      <c r="C9" s="20" t="s">
        <v>5</v>
      </c>
      <c r="D9" s="20" t="s">
        <v>239</v>
      </c>
      <c r="E9" s="20" t="s">
        <v>240</v>
      </c>
      <c r="F9" s="20" t="s">
        <v>241</v>
      </c>
      <c r="G9" s="20" t="s">
        <v>242</v>
      </c>
      <c r="H9" s="20" t="s">
        <v>243</v>
      </c>
      <c r="I9" s="20" t="s">
        <v>245</v>
      </c>
      <c r="J9" s="20" t="s">
        <v>246</v>
      </c>
      <c r="K9" s="20" t="s">
        <v>242</v>
      </c>
      <c r="L9" s="20" t="s">
        <v>247</v>
      </c>
      <c r="M9" s="20" t="s">
        <v>243</v>
      </c>
      <c r="N9" s="20" t="s">
        <v>248</v>
      </c>
    </row>
    <row r="10" spans="1:14" ht="30" customHeight="1">
      <c r="A10" s="21" t="s">
        <v>11</v>
      </c>
      <c r="B10" s="21" t="s">
        <v>12</v>
      </c>
      <c r="C10" s="21" t="s">
        <v>14</v>
      </c>
      <c r="D10" s="21" t="s">
        <v>16</v>
      </c>
      <c r="E10" s="21" t="s">
        <v>17</v>
      </c>
      <c r="F10" s="21">
        <f>CEILING(BoardQty*13,1)</f>
        <v>13</v>
      </c>
      <c r="G10" s="22">
        <f>IF(MIN(K10)&lt;&gt;0,MIN(K10),"")</f>
        <v/>
      </c>
      <c r="H10" s="23">
        <f>IF(AND(ISNUMBER(F10),ISNUMBER(G10)),F10*G10,"")</f>
        <v/>
      </c>
    </row>
    <row r="11" spans="1:14">
      <c r="A11" s="21" t="s">
        <v>19</v>
      </c>
      <c r="B11" s="21" t="s">
        <v>20</v>
      </c>
      <c r="C11" s="21" t="s">
        <v>14</v>
      </c>
      <c r="D11" s="21" t="s">
        <v>16</v>
      </c>
      <c r="E11" s="21" t="s">
        <v>21</v>
      </c>
      <c r="F11" s="21">
        <f>BoardQty*1</f>
        <v>1</v>
      </c>
      <c r="G11" s="22">
        <f>IF(MIN(K11)&lt;&gt;0,MIN(K11),"")</f>
        <v/>
      </c>
      <c r="H11" s="23">
        <f>IF(AND(ISNUMBER(F11),ISNUMBER(G11)),F11*G11,"")</f>
        <v/>
      </c>
    </row>
    <row r="12" spans="1:14">
      <c r="A12" s="21" t="s">
        <v>23</v>
      </c>
      <c r="B12" s="21" t="s">
        <v>24</v>
      </c>
      <c r="C12" s="21" t="s">
        <v>14</v>
      </c>
      <c r="D12" s="21" t="s">
        <v>16</v>
      </c>
      <c r="E12" s="21" t="s">
        <v>25</v>
      </c>
      <c r="F12" s="21">
        <f>CEILING(BoardQty*3,1)</f>
        <v>3</v>
      </c>
      <c r="G12" s="22">
        <f>IF(MIN(K12)&lt;&gt;0,MIN(K12),"")</f>
        <v/>
      </c>
      <c r="H12" s="23">
        <f>IF(AND(ISNUMBER(F12),ISNUMBER(G12)),F12*G12,"")</f>
        <v/>
      </c>
    </row>
    <row r="13" spans="1:14">
      <c r="A13" s="21" t="s">
        <v>27</v>
      </c>
      <c r="B13" s="21" t="s">
        <v>28</v>
      </c>
      <c r="C13" s="21" t="s">
        <v>30</v>
      </c>
      <c r="D13" s="21" t="s">
        <v>16</v>
      </c>
      <c r="E13" s="21" t="s">
        <v>31</v>
      </c>
      <c r="F13" s="21">
        <f>BoardQty*1</f>
        <v>1</v>
      </c>
      <c r="G13" s="22">
        <f>IF(MIN(K13)&lt;&gt;0,MIN(K13),"")</f>
        <v/>
      </c>
      <c r="H13" s="23">
        <f>IF(AND(ISNUMBER(F13),ISNUMBER(G13)),F13*G13,"")</f>
        <v/>
      </c>
    </row>
    <row r="14" spans="1:14">
      <c r="A14" s="21" t="s">
        <v>33</v>
      </c>
      <c r="B14" s="21" t="s">
        <v>34</v>
      </c>
      <c r="C14" s="21" t="s">
        <v>30</v>
      </c>
      <c r="D14" s="21" t="s">
        <v>36</v>
      </c>
      <c r="E14" s="21" t="s">
        <v>37</v>
      </c>
      <c r="F14" s="21">
        <f>CEILING(BoardQty*5,1)</f>
        <v>5</v>
      </c>
      <c r="G14" s="22">
        <f>IF(MIN(K14)&lt;&gt;0,MIN(K14),"")</f>
        <v/>
      </c>
      <c r="H14" s="23">
        <f>IF(AND(ISNUMBER(F14),ISNUMBER(G14)),F14*G14,"")</f>
        <v/>
      </c>
    </row>
    <row r="15" spans="1:14">
      <c r="A15" s="21" t="s">
        <v>39</v>
      </c>
      <c r="B15" s="21" t="s">
        <v>34</v>
      </c>
      <c r="C15" s="21" t="s">
        <v>40</v>
      </c>
      <c r="D15" s="21" t="s">
        <v>16</v>
      </c>
      <c r="E15" s="21" t="s">
        <v>41</v>
      </c>
      <c r="F15" s="21">
        <f>CEILING(BoardQty*3,1)</f>
        <v>3</v>
      </c>
      <c r="G15" s="22">
        <f>IF(MIN(K15)&lt;&gt;0,MIN(K15),"")</f>
        <v/>
      </c>
      <c r="H15" s="23">
        <f>IF(AND(ISNUMBER(F15),ISNUMBER(G15)),F15*G15,"")</f>
        <v/>
      </c>
    </row>
    <row r="16" spans="1:14">
      <c r="A16" s="21" t="s">
        <v>43</v>
      </c>
      <c r="B16" s="21" t="s">
        <v>44</v>
      </c>
      <c r="C16" s="21" t="s">
        <v>46</v>
      </c>
      <c r="D16" s="21" t="s">
        <v>48</v>
      </c>
      <c r="E16" s="21" t="s">
        <v>44</v>
      </c>
      <c r="F16" s="21">
        <f>BoardQty*1</f>
        <v>1</v>
      </c>
      <c r="G16" s="22">
        <f>IF(MIN(K16)&lt;&gt;0,MIN(K16),"")</f>
        <v/>
      </c>
      <c r="H16" s="23">
        <f>IF(AND(ISNUMBER(F16),ISNUMBER(G16)),F16*G16,"")</f>
        <v/>
      </c>
    </row>
    <row r="17" spans="1:8">
      <c r="A17" s="21" t="s">
        <v>50</v>
      </c>
      <c r="B17" s="21" t="s">
        <v>51</v>
      </c>
      <c r="C17" s="21" t="s">
        <v>53</v>
      </c>
      <c r="D17" s="21" t="s">
        <v>55</v>
      </c>
      <c r="E17" s="21" t="s">
        <v>51</v>
      </c>
      <c r="F17" s="21">
        <f>BoardQty*1</f>
        <v>1</v>
      </c>
      <c r="G17" s="22">
        <f>IF(MIN(K17)&lt;&gt;0,MIN(K17),"")</f>
        <v/>
      </c>
      <c r="H17" s="23">
        <f>IF(AND(ISNUMBER(F17),ISNUMBER(G17)),F17*G17,"")</f>
        <v/>
      </c>
    </row>
    <row r="18" spans="1:8">
      <c r="A18" s="21" t="s">
        <v>57</v>
      </c>
      <c r="B18" s="21" t="s">
        <v>58</v>
      </c>
      <c r="C18" s="21" t="s">
        <v>60</v>
      </c>
      <c r="D18" s="21" t="s">
        <v>55</v>
      </c>
      <c r="E18" s="21" t="s">
        <v>58</v>
      </c>
      <c r="F18" s="21">
        <f>BoardQty*1</f>
        <v>1</v>
      </c>
      <c r="G18" s="22">
        <f>IF(MIN(K18)&lt;&gt;0,MIN(K18),"")</f>
        <v/>
      </c>
      <c r="H18" s="23">
        <f>IF(AND(ISNUMBER(F18),ISNUMBER(G18)),F18*G18,"")</f>
        <v/>
      </c>
    </row>
    <row r="19" spans="1:8">
      <c r="A19" s="21" t="s">
        <v>62</v>
      </c>
      <c r="B19" s="21" t="s">
        <v>63</v>
      </c>
      <c r="C19" s="21" t="s">
        <v>65</v>
      </c>
      <c r="D19" s="21" t="s">
        <v>66</v>
      </c>
      <c r="E19" s="21" t="s">
        <v>63</v>
      </c>
      <c r="F19" s="21">
        <f>BoardQty*1</f>
        <v>1</v>
      </c>
      <c r="G19" s="22">
        <f>IF(MIN(K19)&lt;&gt;0,MIN(K19),"")</f>
        <v/>
      </c>
      <c r="H19" s="23">
        <f>IF(AND(ISNUMBER(F19),ISNUMBER(G19)),F19*G19,"")</f>
        <v/>
      </c>
    </row>
    <row r="20" spans="1:8">
      <c r="A20" s="21" t="s">
        <v>68</v>
      </c>
      <c r="B20" s="21" t="s">
        <v>69</v>
      </c>
      <c r="C20" s="21" t="s">
        <v>71</v>
      </c>
      <c r="D20" s="21" t="s">
        <v>72</v>
      </c>
      <c r="E20" s="21" t="s">
        <v>69</v>
      </c>
      <c r="F20" s="21">
        <f>BoardQty*1</f>
        <v>1</v>
      </c>
      <c r="G20" s="22">
        <f>IF(MIN(K20)&lt;&gt;0,MIN(K20),"")</f>
        <v/>
      </c>
      <c r="H20" s="23">
        <f>IF(AND(ISNUMBER(F20),ISNUMBER(G20)),F20*G20,"")</f>
        <v/>
      </c>
    </row>
    <row r="21" spans="1:8">
      <c r="A21" s="21" t="s">
        <v>74</v>
      </c>
      <c r="B21" s="21" t="s">
        <v>75</v>
      </c>
      <c r="C21" s="21" t="s">
        <v>77</v>
      </c>
      <c r="D21" s="21" t="s">
        <v>78</v>
      </c>
      <c r="E21" s="21" t="s">
        <v>75</v>
      </c>
      <c r="F21" s="21">
        <f>BoardQty*1</f>
        <v>1</v>
      </c>
      <c r="G21" s="22">
        <f>IF(MIN(K21)&lt;&gt;0,MIN(K21),"")</f>
        <v/>
      </c>
      <c r="H21" s="23">
        <f>IF(AND(ISNUMBER(F21),ISNUMBER(G21)),F21*G21,"")</f>
        <v/>
      </c>
    </row>
    <row r="22" spans="1:8">
      <c r="A22" s="21" t="s">
        <v>79</v>
      </c>
      <c r="B22" s="21" t="s">
        <v>80</v>
      </c>
      <c r="C22" s="21" t="s">
        <v>82</v>
      </c>
      <c r="D22" s="21" t="s">
        <v>83</v>
      </c>
      <c r="E22" s="21" t="s">
        <v>80</v>
      </c>
      <c r="F22" s="21">
        <f>BoardQty*1</f>
        <v>1</v>
      </c>
      <c r="G22" s="22">
        <f>IF(MIN(K22)&lt;&gt;0,MIN(K22),"")</f>
        <v/>
      </c>
      <c r="H22" s="23">
        <f>IF(AND(ISNUMBER(F22),ISNUMBER(G22)),F22*G22,"")</f>
        <v/>
      </c>
    </row>
    <row r="23" spans="1:8">
      <c r="A23" s="21" t="s">
        <v>85</v>
      </c>
      <c r="B23" s="21" t="s">
        <v>86</v>
      </c>
      <c r="C23" s="21" t="s">
        <v>88</v>
      </c>
      <c r="D23" s="21" t="s">
        <v>89</v>
      </c>
      <c r="E23" s="21" t="s">
        <v>90</v>
      </c>
      <c r="F23" s="21">
        <f>BoardQty*1</f>
        <v>1</v>
      </c>
      <c r="G23" s="22">
        <f>IF(MIN(K23)&lt;&gt;0,MIN(K23),"")</f>
        <v/>
      </c>
      <c r="H23" s="23">
        <f>IF(AND(ISNUMBER(F23),ISNUMBER(G23)),F23*G23,"")</f>
        <v/>
      </c>
    </row>
    <row r="24" spans="1:8">
      <c r="A24" s="21" t="s">
        <v>92</v>
      </c>
      <c r="B24" s="21" t="s">
        <v>93</v>
      </c>
      <c r="C24" s="21" t="s">
        <v>95</v>
      </c>
      <c r="D24" s="21" t="s">
        <v>89</v>
      </c>
      <c r="E24" s="21" t="s">
        <v>97</v>
      </c>
      <c r="F24" s="21">
        <f>BoardQty*1</f>
        <v>1</v>
      </c>
      <c r="G24" s="22">
        <f>IF(MIN(K24)&lt;&gt;0,MIN(K24),"")</f>
        <v/>
      </c>
      <c r="H24" s="23">
        <f>IF(AND(ISNUMBER(F24),ISNUMBER(G24)),F24*G24,"")</f>
        <v/>
      </c>
    </row>
    <row r="25" spans="1:8">
      <c r="A25" s="21" t="s">
        <v>99</v>
      </c>
      <c r="B25" s="21" t="s">
        <v>100</v>
      </c>
      <c r="C25" s="21" t="s">
        <v>100</v>
      </c>
      <c r="D25" s="21" t="s">
        <v>102</v>
      </c>
      <c r="E25" s="21" t="s">
        <v>103</v>
      </c>
      <c r="F25" s="21">
        <f>BoardQty*1</f>
        <v>1</v>
      </c>
      <c r="G25" s="22">
        <f>IF(MIN(K25)&lt;&gt;0,MIN(K25),"")</f>
        <v/>
      </c>
      <c r="H25" s="23">
        <f>IF(AND(ISNUMBER(F25),ISNUMBER(G25)),F25*G25,"")</f>
        <v/>
      </c>
    </row>
    <row r="26" spans="1:8">
      <c r="A26" s="21" t="s">
        <v>105</v>
      </c>
      <c r="B26" s="21" t="s">
        <v>106</v>
      </c>
      <c r="C26" s="21" t="s">
        <v>108</v>
      </c>
      <c r="D26" s="21" t="s">
        <v>78</v>
      </c>
      <c r="E26" s="21" t="s">
        <v>106</v>
      </c>
      <c r="F26" s="21">
        <f>BoardQty*1</f>
        <v>1</v>
      </c>
      <c r="G26" s="22">
        <f>IF(MIN(K26)&lt;&gt;0,MIN(K26),"")</f>
        <v/>
      </c>
      <c r="H26" s="23">
        <f>IF(AND(ISNUMBER(F26),ISNUMBER(G26)),F26*G26,"")</f>
        <v/>
      </c>
    </row>
    <row r="27" spans="1:8">
      <c r="A27" s="21" t="s">
        <v>111</v>
      </c>
      <c r="B27" s="21" t="s">
        <v>112</v>
      </c>
      <c r="C27" s="21" t="s">
        <v>114</v>
      </c>
      <c r="D27" s="21" t="s">
        <v>115</v>
      </c>
      <c r="E27" s="21" t="s">
        <v>116</v>
      </c>
      <c r="F27" s="21">
        <f>BoardQty*1</f>
        <v>1</v>
      </c>
      <c r="G27" s="22">
        <f>IF(MIN(K27)&lt;&gt;0,MIN(K27),"")</f>
        <v/>
      </c>
      <c r="H27" s="23">
        <f>IF(AND(ISNUMBER(F27),ISNUMBER(G27)),F27*G27,"")</f>
        <v/>
      </c>
    </row>
    <row r="28" spans="1:8">
      <c r="A28" s="21" t="s">
        <v>118</v>
      </c>
      <c r="B28" s="21" t="s">
        <v>28</v>
      </c>
      <c r="C28" s="21" t="s">
        <v>120</v>
      </c>
      <c r="D28" s="21" t="s">
        <v>36</v>
      </c>
      <c r="E28" s="21" t="s">
        <v>122</v>
      </c>
      <c r="F28" s="21">
        <f>CEILING(BoardQty*2,1)</f>
        <v>2</v>
      </c>
      <c r="G28" s="22">
        <f>IF(MIN(K28)&lt;&gt;0,MIN(K28),"")</f>
        <v/>
      </c>
      <c r="H28" s="23">
        <f>IF(AND(ISNUMBER(F28),ISNUMBER(G28)),F28*G28,"")</f>
        <v/>
      </c>
    </row>
    <row r="29" spans="1:8">
      <c r="A29" s="21" t="s">
        <v>124</v>
      </c>
      <c r="B29" s="21" t="s">
        <v>125</v>
      </c>
      <c r="C29" s="21" t="s">
        <v>127</v>
      </c>
      <c r="D29" s="21" t="s">
        <v>128</v>
      </c>
      <c r="E29" s="21" t="s">
        <v>127</v>
      </c>
      <c r="F29" s="21">
        <f>BoardQty*1</f>
        <v>1</v>
      </c>
      <c r="G29" s="22">
        <f>IF(MIN(K29)&lt;&gt;0,MIN(K29),"")</f>
        <v/>
      </c>
      <c r="H29" s="23">
        <f>IF(AND(ISNUMBER(F29),ISNUMBER(G29)),F29*G29,"")</f>
        <v/>
      </c>
    </row>
    <row r="30" spans="1:8">
      <c r="A30" s="21" t="s">
        <v>130</v>
      </c>
      <c r="B30" s="21" t="s">
        <v>131</v>
      </c>
      <c r="C30" s="21" t="s">
        <v>131</v>
      </c>
      <c r="D30" s="21" t="s">
        <v>133</v>
      </c>
      <c r="E30" s="21" t="s">
        <v>134</v>
      </c>
      <c r="F30" s="21">
        <f>BoardQty*1</f>
        <v>1</v>
      </c>
      <c r="G30" s="22">
        <f>IF(MIN(K30)&lt;&gt;0,MIN(K30),"")</f>
        <v/>
      </c>
      <c r="H30" s="23">
        <f>IF(AND(ISNUMBER(F30),ISNUMBER(G30)),F30*G30,"")</f>
        <v/>
      </c>
    </row>
    <row r="31" spans="1:8">
      <c r="A31" s="21" t="s">
        <v>136</v>
      </c>
      <c r="B31" s="21" t="s">
        <v>137</v>
      </c>
      <c r="C31" s="21" t="s">
        <v>137</v>
      </c>
      <c r="D31" s="21" t="s">
        <v>140</v>
      </c>
      <c r="E31" s="21" t="s">
        <v>137</v>
      </c>
      <c r="F31" s="21">
        <f>BoardQty*1</f>
        <v>1</v>
      </c>
      <c r="G31" s="22">
        <f>IF(MIN(K31)&lt;&gt;0,MIN(K31),"")</f>
        <v/>
      </c>
      <c r="H31" s="23">
        <f>IF(AND(ISNUMBER(F31),ISNUMBER(G31)),F31*G31,"")</f>
        <v/>
      </c>
    </row>
    <row r="32" spans="1:8">
      <c r="A32" s="21" t="s">
        <v>142</v>
      </c>
      <c r="B32" s="21" t="s">
        <v>143</v>
      </c>
      <c r="C32" s="21" t="s">
        <v>145</v>
      </c>
      <c r="D32" s="21" t="s">
        <v>147</v>
      </c>
      <c r="E32" s="21" t="s">
        <v>148</v>
      </c>
      <c r="F32" s="21">
        <f>CEILING(BoardQty*2,1)</f>
        <v>2</v>
      </c>
      <c r="G32" s="22">
        <f>IF(MIN(K32)&lt;&gt;0,MIN(K32),"")</f>
        <v/>
      </c>
      <c r="H32" s="23">
        <f>IF(AND(ISNUMBER(F32),ISNUMBER(G32)),F32*G32,"")</f>
        <v/>
      </c>
    </row>
    <row r="33" spans="1:13">
      <c r="A33" s="21" t="s">
        <v>150</v>
      </c>
      <c r="B33" s="21" t="s">
        <v>151</v>
      </c>
      <c r="C33" s="21" t="s">
        <v>145</v>
      </c>
      <c r="D33" s="21" t="s">
        <v>147</v>
      </c>
      <c r="E33" s="21" t="s">
        <v>152</v>
      </c>
      <c r="F33" s="21">
        <f>CEILING(BoardQty*2,1)</f>
        <v>2</v>
      </c>
      <c r="G33" s="22">
        <f>IF(MIN(K33)&lt;&gt;0,MIN(K33),"")</f>
        <v/>
      </c>
      <c r="H33" s="23">
        <f>IF(AND(ISNUMBER(F33),ISNUMBER(G33)),F33*G33,"")</f>
        <v/>
      </c>
    </row>
    <row r="34" spans="1:13">
      <c r="A34" s="21" t="s">
        <v>154</v>
      </c>
      <c r="B34" s="21" t="s">
        <v>155</v>
      </c>
      <c r="C34" s="21" t="s">
        <v>145</v>
      </c>
      <c r="D34" s="21" t="s">
        <v>147</v>
      </c>
      <c r="E34" s="21" t="s">
        <v>156</v>
      </c>
      <c r="F34" s="21">
        <f>BoardQty*1</f>
        <v>1</v>
      </c>
      <c r="G34" s="22">
        <f>IF(MIN(K34)&lt;&gt;0,MIN(K34),"")</f>
        <v/>
      </c>
      <c r="H34" s="23">
        <f>IF(AND(ISNUMBER(F34),ISNUMBER(G34)),F34*G34,"")</f>
        <v/>
      </c>
    </row>
    <row r="35" spans="1:13">
      <c r="A35" s="21" t="s">
        <v>158</v>
      </c>
      <c r="B35" s="21" t="s">
        <v>159</v>
      </c>
      <c r="C35" s="21" t="s">
        <v>145</v>
      </c>
      <c r="D35" s="21" t="s">
        <v>147</v>
      </c>
      <c r="E35" s="21" t="s">
        <v>160</v>
      </c>
      <c r="F35" s="21">
        <f>BoardQty*1</f>
        <v>1</v>
      </c>
      <c r="G35" s="22">
        <f>IF(MIN(K35)&lt;&gt;0,MIN(K35),"")</f>
        <v/>
      </c>
      <c r="H35" s="23">
        <f>IF(AND(ISNUMBER(F35),ISNUMBER(G35)),F35*G35,"")</f>
        <v/>
      </c>
    </row>
    <row r="36" spans="1:13">
      <c r="A36" s="21" t="s">
        <v>162</v>
      </c>
      <c r="B36" s="21" t="s">
        <v>163</v>
      </c>
      <c r="C36" s="21" t="s">
        <v>145</v>
      </c>
      <c r="D36" s="21" t="s">
        <v>147</v>
      </c>
      <c r="E36" s="21" t="s">
        <v>164</v>
      </c>
      <c r="F36" s="21">
        <f>CEILING(BoardQty*2,1)</f>
        <v>2</v>
      </c>
      <c r="G36" s="22">
        <f>IF(MIN(K36)&lt;&gt;0,MIN(K36),"")</f>
        <v/>
      </c>
      <c r="H36" s="23">
        <f>IF(AND(ISNUMBER(F36),ISNUMBER(G36)),F36*G36,"")</f>
        <v/>
      </c>
    </row>
    <row r="37" spans="1:13">
      <c r="A37" s="21" t="s">
        <v>166</v>
      </c>
      <c r="B37" s="21" t="s">
        <v>167</v>
      </c>
      <c r="C37" s="21" t="s">
        <v>145</v>
      </c>
      <c r="D37" s="21" t="s">
        <v>147</v>
      </c>
      <c r="E37" s="21" t="s">
        <v>168</v>
      </c>
      <c r="F37" s="21">
        <f>BoardQty*1</f>
        <v>1</v>
      </c>
      <c r="G37" s="22">
        <f>IF(MIN(K37)&lt;&gt;0,MIN(K37),"")</f>
        <v/>
      </c>
      <c r="H37" s="23">
        <f>IF(AND(ISNUMBER(F37),ISNUMBER(G37)),F37*G37,"")</f>
        <v/>
      </c>
    </row>
    <row r="38" spans="1:13">
      <c r="A38" s="21" t="s">
        <v>170</v>
      </c>
      <c r="B38" s="21" t="s">
        <v>171</v>
      </c>
      <c r="C38" s="21" t="s">
        <v>173</v>
      </c>
      <c r="D38" s="21" t="s">
        <v>175</v>
      </c>
      <c r="E38" s="21" t="s">
        <v>176</v>
      </c>
      <c r="F38" s="21">
        <f>BoardQty*1</f>
        <v>1</v>
      </c>
      <c r="G38" s="22">
        <f>IF(MIN(K38)&lt;&gt;0,MIN(K38),"")</f>
        <v/>
      </c>
      <c r="H38" s="23">
        <f>IF(AND(ISNUMBER(F38),ISNUMBER(G38)),F38*G38,"")</f>
        <v/>
      </c>
    </row>
    <row r="39" spans="1:13">
      <c r="A39" s="21" t="s">
        <v>178</v>
      </c>
      <c r="B39" s="21" t="s">
        <v>179</v>
      </c>
      <c r="C39" s="21" t="s">
        <v>173</v>
      </c>
      <c r="D39" s="21" t="s">
        <v>175</v>
      </c>
      <c r="E39" s="21" t="s">
        <v>176</v>
      </c>
      <c r="F39" s="21">
        <f>BoardQty*1</f>
        <v>1</v>
      </c>
      <c r="G39" s="22">
        <f>IF(MIN(K39)&lt;&gt;0,MIN(K39),"")</f>
        <v/>
      </c>
      <c r="H39" s="23">
        <f>IF(AND(ISNUMBER(F39),ISNUMBER(G39)),F39*G39,"")</f>
        <v/>
      </c>
    </row>
    <row r="40" spans="1:13">
      <c r="A40" s="21" t="s">
        <v>181</v>
      </c>
      <c r="B40" s="21" t="s">
        <v>182</v>
      </c>
      <c r="C40" s="21" t="s">
        <v>173</v>
      </c>
      <c r="D40" s="21" t="s">
        <v>175</v>
      </c>
      <c r="E40" s="21" t="s">
        <v>176</v>
      </c>
      <c r="F40" s="21">
        <f>BoardQty*1</f>
        <v>1</v>
      </c>
      <c r="G40" s="22">
        <f>IF(MIN(K40)&lt;&gt;0,MIN(K40),"")</f>
        <v/>
      </c>
      <c r="H40" s="23">
        <f>IF(AND(ISNUMBER(F40),ISNUMBER(G40)),F40*G40,"")</f>
        <v/>
      </c>
    </row>
    <row r="41" spans="1:13">
      <c r="A41" s="21" t="s">
        <v>184</v>
      </c>
      <c r="B41" s="21" t="s">
        <v>185</v>
      </c>
      <c r="C41" s="21" t="s">
        <v>173</v>
      </c>
      <c r="D41" s="21" t="s">
        <v>175</v>
      </c>
      <c r="E41" s="21" t="s">
        <v>176</v>
      </c>
      <c r="F41" s="21">
        <f>BoardQty*1</f>
        <v>1</v>
      </c>
      <c r="G41" s="22">
        <f>IF(MIN(K41)&lt;&gt;0,MIN(K41),"")</f>
        <v/>
      </c>
      <c r="H41" s="23">
        <f>IF(AND(ISNUMBER(F41),ISNUMBER(G41)),F41*G41,"")</f>
        <v/>
      </c>
    </row>
    <row r="42" spans="1:13">
      <c r="A42" s="21" t="s">
        <v>187</v>
      </c>
      <c r="B42" s="21" t="s">
        <v>188</v>
      </c>
      <c r="C42" s="21" t="s">
        <v>190</v>
      </c>
      <c r="D42" s="21" t="s">
        <v>192</v>
      </c>
      <c r="E42" s="21" t="s">
        <v>193</v>
      </c>
      <c r="F42" s="21">
        <f>BoardQty*1</f>
        <v>1</v>
      </c>
      <c r="G42" s="22">
        <f>IF(MIN(K42)&lt;&gt;0,MIN(K42),"")</f>
        <v/>
      </c>
      <c r="H42" s="23">
        <f>IF(AND(ISNUMBER(F42),ISNUMBER(G42)),F42*G42,"")</f>
        <v/>
      </c>
    </row>
    <row r="43" spans="1:13">
      <c r="A43" s="21" t="s">
        <v>195</v>
      </c>
      <c r="B43" s="21" t="s">
        <v>196</v>
      </c>
      <c r="C43" s="21" t="s">
        <v>198</v>
      </c>
      <c r="D43" s="21" t="s">
        <v>200</v>
      </c>
      <c r="E43" s="21" t="s">
        <v>201</v>
      </c>
      <c r="F43" s="21">
        <f>BoardQty*1</f>
        <v>1</v>
      </c>
      <c r="G43" s="22">
        <f>IF(MIN(K43)&lt;&gt;0,MIN(K43),"")</f>
        <v/>
      </c>
      <c r="H43" s="23">
        <f>IF(AND(ISNUMBER(F43),ISNUMBER(G43)),F43*G43,"")</f>
        <v/>
      </c>
    </row>
    <row r="44" spans="1:13">
      <c r="A44" s="21" t="s">
        <v>203</v>
      </c>
      <c r="B44" s="21" t="s">
        <v>204</v>
      </c>
      <c r="C44" s="21" t="s">
        <v>206</v>
      </c>
      <c r="D44" s="21" t="s">
        <v>207</v>
      </c>
      <c r="E44" s="21" t="s">
        <v>208</v>
      </c>
      <c r="F44" s="21">
        <f>BoardQty*1</f>
        <v>1</v>
      </c>
      <c r="G44" s="22">
        <f>IF(MIN(K44)&lt;&gt;0,MIN(K44),"")</f>
        <v/>
      </c>
      <c r="H44" s="23">
        <f>IF(AND(ISNUMBER(F44),ISNUMBER(G44)),F44*G44,"")</f>
        <v/>
      </c>
    </row>
    <row r="45" spans="1:13">
      <c r="A45" s="21" t="s">
        <v>210</v>
      </c>
      <c r="B45" s="21" t="s">
        <v>211</v>
      </c>
      <c r="C45" s="21" t="s">
        <v>213</v>
      </c>
      <c r="D45" s="21" t="s">
        <v>215</v>
      </c>
      <c r="E45" s="21" t="s">
        <v>213</v>
      </c>
      <c r="F45" s="21">
        <f>CEILING(BoardQty*2,1)</f>
        <v>2</v>
      </c>
      <c r="G45" s="22">
        <f>IF(MIN(K45)&lt;&gt;0,MIN(K45),"")</f>
        <v/>
      </c>
      <c r="H45" s="23">
        <f>IF(AND(ISNUMBER(F45),ISNUMBER(G45)),F45*G45,"")</f>
        <v/>
      </c>
    </row>
    <row r="46" spans="1:13">
      <c r="A46" s="21" t="s">
        <v>217</v>
      </c>
      <c r="B46" s="21" t="s">
        <v>218</v>
      </c>
      <c r="C46" s="21" t="s">
        <v>220</v>
      </c>
      <c r="D46" s="21" t="s">
        <v>221</v>
      </c>
      <c r="E46" s="21" t="s">
        <v>220</v>
      </c>
      <c r="F46" s="21">
        <f>BoardQty*1</f>
        <v>1</v>
      </c>
      <c r="G46" s="22">
        <f>IF(MIN(K46)&lt;&gt;0,MIN(K46),"")</f>
        <v/>
      </c>
      <c r="H46" s="23">
        <f>IF(AND(ISNUMBER(F46),ISNUMBER(G46)),F46*G46,"")</f>
        <v/>
      </c>
    </row>
    <row r="48" spans="1:13">
      <c r="G48" s="14" t="s">
        <v>250</v>
      </c>
      <c r="H48" s="16">
        <f>SUM(M48)</f>
        <v>0</v>
      </c>
      <c r="I48" s="24" t="s">
        <v>249</v>
      </c>
      <c r="J48" s="17">
        <f>IFERROR(IF(COUNTIF(J10:J46,"&gt;0")&gt;0,COUNTIF(J10:J46,"&gt;0")&amp;" of "&amp;(ROWS(L10:L46)-COUNTBLANK(L10:L46))&amp;" parts purchased",""),"")</f>
        <v/>
      </c>
      <c r="M48" s="16">
        <f>SUMIF(J10:J46,"&gt;0",M10:M46)</f>
        <v>0</v>
      </c>
    </row>
    <row r="49" spans="1:10">
      <c r="A49" s="25" t="s">
        <v>255</v>
      </c>
      <c r="B49" s="26" t="s">
        <v>256</v>
      </c>
      <c r="G49" s="27" t="s">
        <v>251</v>
      </c>
      <c r="J49" s="28">
        <f>CONCATENATE(J87,J88,J89,J90,J91,J92,J93,J94,J95,J96,J97,J98,J99,J100,J101,J102,J103,J104,J105,J106,J107,J108,J109,J110,J111,J112,J113,J114,J115,J116,J117,J118,J119,J120,J121,J122,J123)</f>
        <v/>
      </c>
    </row>
    <row r="50" spans="1:10">
      <c r="A50" s="29" t="s">
        <v>257</v>
      </c>
    </row>
    <row r="87" spans="10:10" ht="30" hidden="1" customHeight="1">
      <c r="J87" t="str">
        <f t="array" ref="J87:J123">IF(ISNUMBER(J10:J46)*(J10:J46&gt;=L10:L46)*(N10:N46&lt;&gt;""),N10:N46&amp;"|"&amp;TEXT(ROUNDUP(J10:J46/IF(ISNUMBER(L10:L46),L10:L46,1),0)*L10:L46,"##0")&amp;"|"&amp;SUBSTITUTE(SUBSTITUTE(SUBSTITUTE(IF(PURCHASE_DESCRIPTION&lt;&gt;"",PURCHASE_DESCRIPTION&amp;":","")&amp;A10:A46,"|",";")," ","_"),"
","_")&amp;CHAR(10),"")</f>
        <v/>
      </c>
    </row>
    <row r="88" spans="10:10" ht="30" hidden="1" customHeight="1">
      <c r="J88">
        <v>0</v>
      </c>
    </row>
    <row r="89" spans="10:10" ht="30" hidden="1" customHeight="1">
      <c r="J89">
        <v>0</v>
      </c>
    </row>
    <row r="90" spans="10:10" ht="30" hidden="1" customHeight="1">
      <c r="J90">
        <v>0</v>
      </c>
    </row>
    <row r="91" spans="10:10" ht="30" hidden="1" customHeight="1">
      <c r="J91">
        <v>0</v>
      </c>
    </row>
    <row r="92" spans="10:10" ht="30" hidden="1" customHeight="1">
      <c r="J92">
        <v>0</v>
      </c>
    </row>
    <row r="93" spans="10:10" ht="30" hidden="1" customHeight="1">
      <c r="J93">
        <v>0</v>
      </c>
    </row>
    <row r="94" spans="10:10" ht="30" hidden="1" customHeight="1">
      <c r="J94">
        <v>0</v>
      </c>
    </row>
    <row r="95" spans="10:10" ht="30" hidden="1" customHeight="1">
      <c r="J95">
        <v>0</v>
      </c>
    </row>
    <row r="96" spans="10:10" ht="30" hidden="1" customHeight="1">
      <c r="J96">
        <v>0</v>
      </c>
    </row>
    <row r="97" spans="10:10" ht="30" hidden="1" customHeight="1">
      <c r="J97">
        <v>0</v>
      </c>
    </row>
    <row r="98" spans="10:10" ht="30" hidden="1" customHeight="1">
      <c r="J98">
        <v>0</v>
      </c>
    </row>
    <row r="99" spans="10:10" ht="30" hidden="1" customHeight="1">
      <c r="J99">
        <v>0</v>
      </c>
    </row>
    <row r="100" spans="10:10" ht="30" hidden="1" customHeight="1">
      <c r="J100">
        <v>0</v>
      </c>
    </row>
    <row r="101" spans="10:10" ht="30" hidden="1" customHeight="1">
      <c r="J101">
        <v>0</v>
      </c>
    </row>
    <row r="102" spans="10:10" ht="30" hidden="1" customHeight="1">
      <c r="J102">
        <v>0</v>
      </c>
    </row>
    <row r="103" spans="10:10" ht="30" hidden="1" customHeight="1">
      <c r="J103">
        <v>0</v>
      </c>
    </row>
    <row r="104" spans="10:10" ht="30" hidden="1" customHeight="1">
      <c r="J104">
        <v>0</v>
      </c>
    </row>
    <row r="105" spans="10:10" ht="30" hidden="1" customHeight="1">
      <c r="J105">
        <v>0</v>
      </c>
    </row>
    <row r="106" spans="10:10" ht="30" hidden="1" customHeight="1">
      <c r="J106">
        <v>0</v>
      </c>
    </row>
    <row r="107" spans="10:10" ht="30" hidden="1" customHeight="1">
      <c r="J107">
        <v>0</v>
      </c>
    </row>
    <row r="108" spans="10:10" ht="30" hidden="1" customHeight="1">
      <c r="J108">
        <v>0</v>
      </c>
    </row>
    <row r="109" spans="10:10" ht="30" hidden="1" customHeight="1">
      <c r="J109">
        <v>0</v>
      </c>
    </row>
    <row r="110" spans="10:10" ht="30" hidden="1" customHeight="1">
      <c r="J110">
        <v>0</v>
      </c>
    </row>
    <row r="111" spans="10:10" ht="30" hidden="1" customHeight="1">
      <c r="J111">
        <v>0</v>
      </c>
    </row>
    <row r="112" spans="10:10" ht="30" hidden="1" customHeight="1">
      <c r="J112">
        <v>0</v>
      </c>
    </row>
    <row r="113" spans="10:10" ht="30" hidden="1" customHeight="1">
      <c r="J113">
        <v>0</v>
      </c>
    </row>
    <row r="114" spans="10:10" ht="30" hidden="1" customHeight="1">
      <c r="J114">
        <v>0</v>
      </c>
    </row>
    <row r="115" spans="10:10" ht="30" hidden="1" customHeight="1">
      <c r="J115">
        <v>0</v>
      </c>
    </row>
    <row r="116" spans="10:10" ht="30" hidden="1" customHeight="1">
      <c r="J116">
        <v>0</v>
      </c>
    </row>
    <row r="117" spans="10:10" ht="30" hidden="1" customHeight="1">
      <c r="J117">
        <v>0</v>
      </c>
    </row>
    <row r="118" spans="10:10" ht="30" hidden="1" customHeight="1">
      <c r="J118">
        <v>0</v>
      </c>
    </row>
    <row r="119" spans="10:10" ht="30" hidden="1" customHeight="1">
      <c r="J119">
        <v>0</v>
      </c>
    </row>
    <row r="120" spans="10:10" ht="30" hidden="1" customHeight="1">
      <c r="J120">
        <v>0</v>
      </c>
    </row>
    <row r="121" spans="10:10" ht="30" hidden="1" customHeight="1">
      <c r="J121">
        <v>0</v>
      </c>
    </row>
    <row r="122" spans="10:10" ht="30" hidden="1" customHeight="1">
      <c r="J122">
        <v>0</v>
      </c>
    </row>
    <row r="123" spans="10:10" ht="30" hidden="1" customHeight="1">
      <c r="J123">
        <v>0</v>
      </c>
    </row>
  </sheetData>
  <mergeCells count="4">
    <mergeCell ref="A8:H8"/>
    <mergeCell ref="I8:N8"/>
    <mergeCell ref="J49:M86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conditionalFormatting sqref="F11">
    <cfRule type="expression" dxfId="0" priority="5">
      <formula>AND(ISBLANK(E11),ISBLANK(M11))</formula>
    </cfRule>
    <cfRule type="expression" dxfId="1" priority="6">
      <formula>IF(SUM(I11)=0,1,0)</formula>
    </cfRule>
    <cfRule type="cellIs" dxfId="2" priority="7" operator="greaterThan">
      <formula>SUM(I11)</formula>
    </cfRule>
    <cfRule type="cellIs" dxfId="3" priority="8" operator="greaterThan">
      <formula>SUM(IF(ISNUMBER(K11),J11,0))</formula>
    </cfRule>
  </conditionalFormatting>
  <conditionalFormatting sqref="F12">
    <cfRule type="expression" dxfId="0" priority="9">
      <formula>AND(ISBLANK(E12),ISBLANK(M12))</formula>
    </cfRule>
    <cfRule type="expression" dxfId="1" priority="10">
      <formula>IF(SUM(I12)=0,1,0)</formula>
    </cfRule>
    <cfRule type="cellIs" dxfId="2" priority="11" operator="greaterThan">
      <formula>SUM(I12)</formula>
    </cfRule>
    <cfRule type="cellIs" dxfId="3" priority="12" operator="greaterThan">
      <formula>SUM(IF(ISNUMBER(K12),J12,0))</formula>
    </cfRule>
  </conditionalFormatting>
  <conditionalFormatting sqref="F13">
    <cfRule type="expression" dxfId="0" priority="13">
      <formula>AND(ISBLANK(E13),ISBLANK(M13))</formula>
    </cfRule>
    <cfRule type="expression" dxfId="1" priority="14">
      <formula>IF(SUM(I13)=0,1,0)</formula>
    </cfRule>
    <cfRule type="cellIs" dxfId="2" priority="15" operator="greaterThan">
      <formula>SUM(I13)</formula>
    </cfRule>
    <cfRule type="cellIs" dxfId="3" priority="16" operator="greaterThan">
      <formula>SUM(IF(ISNUMBER(K13),J13,0))</formula>
    </cfRule>
  </conditionalFormatting>
  <conditionalFormatting sqref="F14">
    <cfRule type="expression" dxfId="0" priority="17">
      <formula>AND(ISBLANK(E14),ISBLANK(M14))</formula>
    </cfRule>
    <cfRule type="expression" dxfId="1" priority="18">
      <formula>IF(SUM(I14)=0,1,0)</formula>
    </cfRule>
    <cfRule type="cellIs" dxfId="2" priority="19" operator="greaterThan">
      <formula>SUM(I14)</formula>
    </cfRule>
    <cfRule type="cellIs" dxfId="3" priority="20" operator="greaterThan">
      <formula>SUM(IF(ISNUMBER(K14),J14,0))</formula>
    </cfRule>
  </conditionalFormatting>
  <conditionalFormatting sqref="F15">
    <cfRule type="expression" dxfId="0" priority="21">
      <formula>AND(ISBLANK(E15),ISBLANK(M15))</formula>
    </cfRule>
    <cfRule type="expression" dxfId="1" priority="22">
      <formula>IF(SUM(I15)=0,1,0)</formula>
    </cfRule>
    <cfRule type="cellIs" dxfId="2" priority="23" operator="greaterThan">
      <formula>SUM(I15)</formula>
    </cfRule>
    <cfRule type="cellIs" dxfId="3" priority="24" operator="greaterThan">
      <formula>SUM(IF(ISNUMBER(K15),J15,0))</formula>
    </cfRule>
  </conditionalFormatting>
  <conditionalFormatting sqref="F16">
    <cfRule type="expression" dxfId="0" priority="25">
      <formula>AND(ISBLANK(E16),ISBLANK(M16))</formula>
    </cfRule>
    <cfRule type="expression" dxfId="1" priority="26">
      <formula>IF(SUM(I16)=0,1,0)</formula>
    </cfRule>
    <cfRule type="cellIs" dxfId="2" priority="27" operator="greaterThan">
      <formula>SUM(I16)</formula>
    </cfRule>
    <cfRule type="cellIs" dxfId="3" priority="28" operator="greaterThan">
      <formula>SUM(IF(ISNUMBER(K16),J16,0))</formula>
    </cfRule>
  </conditionalFormatting>
  <conditionalFormatting sqref="F17">
    <cfRule type="expression" dxfId="0" priority="29">
      <formula>AND(ISBLANK(E17),ISBLANK(M17))</formula>
    </cfRule>
    <cfRule type="expression" dxfId="1" priority="30">
      <formula>IF(SUM(I17)=0,1,0)</formula>
    </cfRule>
    <cfRule type="cellIs" dxfId="2" priority="31" operator="greaterThan">
      <formula>SUM(I17)</formula>
    </cfRule>
    <cfRule type="cellIs" dxfId="3" priority="32" operator="greaterThan">
      <formula>SUM(IF(ISNUMBER(K17),J17,0))</formula>
    </cfRule>
  </conditionalFormatting>
  <conditionalFormatting sqref="F18">
    <cfRule type="expression" dxfId="0" priority="33">
      <formula>AND(ISBLANK(E18),ISBLANK(M18))</formula>
    </cfRule>
    <cfRule type="expression" dxfId="1" priority="34">
      <formula>IF(SUM(I18)=0,1,0)</formula>
    </cfRule>
    <cfRule type="cellIs" dxfId="2" priority="35" operator="greaterThan">
      <formula>SUM(I18)</formula>
    </cfRule>
    <cfRule type="cellIs" dxfId="3" priority="36" operator="greaterThan">
      <formula>SUM(IF(ISNUMBER(K18),J18,0))</formula>
    </cfRule>
  </conditionalFormatting>
  <conditionalFormatting sqref="F19">
    <cfRule type="expression" dxfId="0" priority="37">
      <formula>AND(ISBLANK(E19),ISBLANK(M19))</formula>
    </cfRule>
    <cfRule type="expression" dxfId="1" priority="38">
      <formula>IF(SUM(I19)=0,1,0)</formula>
    </cfRule>
    <cfRule type="cellIs" dxfId="2" priority="39" operator="greaterThan">
      <formula>SUM(I19)</formula>
    </cfRule>
    <cfRule type="cellIs" dxfId="3" priority="40" operator="greaterThan">
      <formula>SUM(IF(ISNUMBER(K19),J19,0))</formula>
    </cfRule>
  </conditionalFormatting>
  <conditionalFormatting sqref="F20">
    <cfRule type="expression" dxfId="0" priority="41">
      <formula>AND(ISBLANK(E20),ISBLANK(M20))</formula>
    </cfRule>
    <cfRule type="expression" dxfId="1" priority="42">
      <formula>IF(SUM(I20)=0,1,0)</formula>
    </cfRule>
    <cfRule type="cellIs" dxfId="2" priority="43" operator="greaterThan">
      <formula>SUM(I20)</formula>
    </cfRule>
    <cfRule type="cellIs" dxfId="3" priority="44" operator="greaterThan">
      <formula>SUM(IF(ISNUMBER(K20),J20,0))</formula>
    </cfRule>
  </conditionalFormatting>
  <conditionalFormatting sqref="F21">
    <cfRule type="expression" dxfId="0" priority="45">
      <formula>AND(ISBLANK(E21),ISBLANK(M21))</formula>
    </cfRule>
    <cfRule type="expression" dxfId="1" priority="46">
      <formula>IF(SUM(I21)=0,1,0)</formula>
    </cfRule>
    <cfRule type="cellIs" dxfId="2" priority="47" operator="greaterThan">
      <formula>SUM(I21)</formula>
    </cfRule>
    <cfRule type="cellIs" dxfId="3" priority="48" operator="greaterThan">
      <formula>SUM(IF(ISNUMBER(K21),J21,0))</formula>
    </cfRule>
  </conditionalFormatting>
  <conditionalFormatting sqref="F22">
    <cfRule type="expression" dxfId="0" priority="49">
      <formula>AND(ISBLANK(E22),ISBLANK(M22))</formula>
    </cfRule>
    <cfRule type="expression" dxfId="1" priority="50">
      <formula>IF(SUM(I22)=0,1,0)</formula>
    </cfRule>
    <cfRule type="cellIs" dxfId="2" priority="51" operator="greaterThan">
      <formula>SUM(I22)</formula>
    </cfRule>
    <cfRule type="cellIs" dxfId="3" priority="52" operator="greaterThan">
      <formula>SUM(IF(ISNUMBER(K22),J22,0))</formula>
    </cfRule>
  </conditionalFormatting>
  <conditionalFormatting sqref="F23">
    <cfRule type="expression" dxfId="0" priority="53">
      <formula>AND(ISBLANK(E23),ISBLANK(M23))</formula>
    </cfRule>
    <cfRule type="expression" dxfId="1" priority="54">
      <formula>IF(SUM(I23)=0,1,0)</formula>
    </cfRule>
    <cfRule type="cellIs" dxfId="2" priority="55" operator="greaterThan">
      <formula>SUM(I23)</formula>
    </cfRule>
    <cfRule type="cellIs" dxfId="3" priority="56" operator="greaterThan">
      <formula>SUM(IF(ISNUMBER(K23),J23,0))</formula>
    </cfRule>
  </conditionalFormatting>
  <conditionalFormatting sqref="F24">
    <cfRule type="expression" dxfId="0" priority="57">
      <formula>AND(ISBLANK(E24),ISBLANK(M24))</formula>
    </cfRule>
    <cfRule type="expression" dxfId="1" priority="58">
      <formula>IF(SUM(I24)=0,1,0)</formula>
    </cfRule>
    <cfRule type="cellIs" dxfId="2" priority="59" operator="greaterThan">
      <formula>SUM(I24)</formula>
    </cfRule>
    <cfRule type="cellIs" dxfId="3" priority="60" operator="greaterThan">
      <formula>SUM(IF(ISNUMBER(K24),J24,0))</formula>
    </cfRule>
  </conditionalFormatting>
  <conditionalFormatting sqref="F25">
    <cfRule type="expression" dxfId="0" priority="61">
      <formula>AND(ISBLANK(E25),ISBLANK(M25))</formula>
    </cfRule>
    <cfRule type="expression" dxfId="1" priority="62">
      <formula>IF(SUM(I25)=0,1,0)</formula>
    </cfRule>
    <cfRule type="cellIs" dxfId="2" priority="63" operator="greaterThan">
      <formula>SUM(I25)</formula>
    </cfRule>
    <cfRule type="cellIs" dxfId="3" priority="64" operator="greaterThan">
      <formula>SUM(IF(ISNUMBER(K25),J25,0))</formula>
    </cfRule>
  </conditionalFormatting>
  <conditionalFormatting sqref="F26">
    <cfRule type="expression" dxfId="0" priority="65">
      <formula>AND(ISBLANK(E26),ISBLANK(M26))</formula>
    </cfRule>
    <cfRule type="expression" dxfId="1" priority="66">
      <formula>IF(SUM(I26)=0,1,0)</formula>
    </cfRule>
    <cfRule type="cellIs" dxfId="2" priority="67" operator="greaterThan">
      <formula>SUM(I26)</formula>
    </cfRule>
    <cfRule type="cellIs" dxfId="3" priority="68" operator="greaterThan">
      <formula>SUM(IF(ISNUMBER(K26),J26,0))</formula>
    </cfRule>
  </conditionalFormatting>
  <conditionalFormatting sqref="F27">
    <cfRule type="expression" dxfId="0" priority="69">
      <formula>AND(ISBLANK(E27),ISBLANK(M27))</formula>
    </cfRule>
    <cfRule type="expression" dxfId="1" priority="70">
      <formula>IF(SUM(I27)=0,1,0)</formula>
    </cfRule>
    <cfRule type="cellIs" dxfId="2" priority="71" operator="greaterThan">
      <formula>SUM(I27)</formula>
    </cfRule>
    <cfRule type="cellIs" dxfId="3" priority="72" operator="greaterThan">
      <formula>SUM(IF(ISNUMBER(K27),J27,0))</formula>
    </cfRule>
  </conditionalFormatting>
  <conditionalFormatting sqref="F28">
    <cfRule type="expression" dxfId="0" priority="73">
      <formula>AND(ISBLANK(E28),ISBLANK(M28))</formula>
    </cfRule>
    <cfRule type="expression" dxfId="1" priority="74">
      <formula>IF(SUM(I28)=0,1,0)</formula>
    </cfRule>
    <cfRule type="cellIs" dxfId="2" priority="75" operator="greaterThan">
      <formula>SUM(I28)</formula>
    </cfRule>
    <cfRule type="cellIs" dxfId="3" priority="76" operator="greaterThan">
      <formula>SUM(IF(ISNUMBER(K28),J28,0))</formula>
    </cfRule>
  </conditionalFormatting>
  <conditionalFormatting sqref="F29">
    <cfRule type="expression" dxfId="0" priority="77">
      <formula>AND(ISBLANK(E29),ISBLANK(M29))</formula>
    </cfRule>
    <cfRule type="expression" dxfId="1" priority="78">
      <formula>IF(SUM(I29)=0,1,0)</formula>
    </cfRule>
    <cfRule type="cellIs" dxfId="2" priority="79" operator="greaterThan">
      <formula>SUM(I29)</formula>
    </cfRule>
    <cfRule type="cellIs" dxfId="3" priority="80" operator="greaterThan">
      <formula>SUM(IF(ISNUMBER(K29),J29,0))</formula>
    </cfRule>
  </conditionalFormatting>
  <conditionalFormatting sqref="F30">
    <cfRule type="expression" dxfId="0" priority="81">
      <formula>AND(ISBLANK(E30),ISBLANK(M30))</formula>
    </cfRule>
    <cfRule type="expression" dxfId="1" priority="82">
      <formula>IF(SUM(I30)=0,1,0)</formula>
    </cfRule>
    <cfRule type="cellIs" dxfId="2" priority="83" operator="greaterThan">
      <formula>SUM(I30)</formula>
    </cfRule>
    <cfRule type="cellIs" dxfId="3" priority="84" operator="greaterThan">
      <formula>SUM(IF(ISNUMBER(K30),J30,0))</formula>
    </cfRule>
  </conditionalFormatting>
  <conditionalFormatting sqref="F31">
    <cfRule type="expression" dxfId="0" priority="85">
      <formula>AND(ISBLANK(E31),ISBLANK(M31))</formula>
    </cfRule>
    <cfRule type="expression" dxfId="1" priority="86">
      <formula>IF(SUM(I31)=0,1,0)</formula>
    </cfRule>
    <cfRule type="cellIs" dxfId="2" priority="87" operator="greaterThan">
      <formula>SUM(I31)</formula>
    </cfRule>
    <cfRule type="cellIs" dxfId="3" priority="88" operator="greaterThan">
      <formula>SUM(IF(ISNUMBER(K31),J31,0))</formula>
    </cfRule>
  </conditionalFormatting>
  <conditionalFormatting sqref="F32">
    <cfRule type="expression" dxfId="0" priority="89">
      <formula>AND(ISBLANK(E32),ISBLANK(M32))</formula>
    </cfRule>
    <cfRule type="expression" dxfId="1" priority="90">
      <formula>IF(SUM(I32)=0,1,0)</formula>
    </cfRule>
    <cfRule type="cellIs" dxfId="2" priority="91" operator="greaterThan">
      <formula>SUM(I32)</formula>
    </cfRule>
    <cfRule type="cellIs" dxfId="3" priority="92" operator="greaterThan">
      <formula>SUM(IF(ISNUMBER(K32),J32,0))</formula>
    </cfRule>
  </conditionalFormatting>
  <conditionalFormatting sqref="F33">
    <cfRule type="expression" dxfId="0" priority="93">
      <formula>AND(ISBLANK(E33),ISBLANK(M33))</formula>
    </cfRule>
    <cfRule type="expression" dxfId="1" priority="94">
      <formula>IF(SUM(I33)=0,1,0)</formula>
    </cfRule>
    <cfRule type="cellIs" dxfId="2" priority="95" operator="greaterThan">
      <formula>SUM(I33)</formula>
    </cfRule>
    <cfRule type="cellIs" dxfId="3" priority="96" operator="greaterThan">
      <formula>SUM(IF(ISNUMBER(K33),J33,0))</formula>
    </cfRule>
  </conditionalFormatting>
  <conditionalFormatting sqref="F34">
    <cfRule type="expression" dxfId="0" priority="97">
      <formula>AND(ISBLANK(E34),ISBLANK(M34))</formula>
    </cfRule>
    <cfRule type="expression" dxfId="1" priority="98">
      <formula>IF(SUM(I34)=0,1,0)</formula>
    </cfRule>
    <cfRule type="cellIs" dxfId="2" priority="99" operator="greaterThan">
      <formula>SUM(I34)</formula>
    </cfRule>
    <cfRule type="cellIs" dxfId="3" priority="100" operator="greaterThan">
      <formula>SUM(IF(ISNUMBER(K34),J34,0))</formula>
    </cfRule>
  </conditionalFormatting>
  <conditionalFormatting sqref="F35">
    <cfRule type="expression" dxfId="0" priority="101">
      <formula>AND(ISBLANK(E35),ISBLANK(M35))</formula>
    </cfRule>
    <cfRule type="expression" dxfId="1" priority="102">
      <formula>IF(SUM(I35)=0,1,0)</formula>
    </cfRule>
    <cfRule type="cellIs" dxfId="2" priority="103" operator="greaterThan">
      <formula>SUM(I35)</formula>
    </cfRule>
    <cfRule type="cellIs" dxfId="3" priority="104" operator="greaterThan">
      <formula>SUM(IF(ISNUMBER(K35),J35,0))</formula>
    </cfRule>
  </conditionalFormatting>
  <conditionalFormatting sqref="F36">
    <cfRule type="expression" dxfId="0" priority="105">
      <formula>AND(ISBLANK(E36),ISBLANK(M36))</formula>
    </cfRule>
    <cfRule type="expression" dxfId="1" priority="106">
      <formula>IF(SUM(I36)=0,1,0)</formula>
    </cfRule>
    <cfRule type="cellIs" dxfId="2" priority="107" operator="greaterThan">
      <formula>SUM(I36)</formula>
    </cfRule>
    <cfRule type="cellIs" dxfId="3" priority="108" operator="greaterThan">
      <formula>SUM(IF(ISNUMBER(K36),J36,0))</formula>
    </cfRule>
  </conditionalFormatting>
  <conditionalFormatting sqref="F37">
    <cfRule type="expression" dxfId="0" priority="109">
      <formula>AND(ISBLANK(E37),ISBLANK(M37))</formula>
    </cfRule>
    <cfRule type="expression" dxfId="1" priority="110">
      <formula>IF(SUM(I37)=0,1,0)</formula>
    </cfRule>
    <cfRule type="cellIs" dxfId="2" priority="111" operator="greaterThan">
      <formula>SUM(I37)</formula>
    </cfRule>
    <cfRule type="cellIs" dxfId="3" priority="112" operator="greaterThan">
      <formula>SUM(IF(ISNUMBER(K37),J37,0))</formula>
    </cfRule>
  </conditionalFormatting>
  <conditionalFormatting sqref="F38">
    <cfRule type="expression" dxfId="0" priority="113">
      <formula>AND(ISBLANK(E38),ISBLANK(M38))</formula>
    </cfRule>
    <cfRule type="expression" dxfId="1" priority="114">
      <formula>IF(SUM(I38)=0,1,0)</formula>
    </cfRule>
    <cfRule type="cellIs" dxfId="2" priority="115" operator="greaterThan">
      <formula>SUM(I38)</formula>
    </cfRule>
    <cfRule type="cellIs" dxfId="3" priority="116" operator="greaterThan">
      <formula>SUM(IF(ISNUMBER(K38),J38,0))</formula>
    </cfRule>
  </conditionalFormatting>
  <conditionalFormatting sqref="F39">
    <cfRule type="expression" dxfId="0" priority="117">
      <formula>AND(ISBLANK(E39),ISBLANK(M39))</formula>
    </cfRule>
    <cfRule type="expression" dxfId="1" priority="118">
      <formula>IF(SUM(I39)=0,1,0)</formula>
    </cfRule>
    <cfRule type="cellIs" dxfId="2" priority="119" operator="greaterThan">
      <formula>SUM(I39)</formula>
    </cfRule>
    <cfRule type="cellIs" dxfId="3" priority="120" operator="greaterThan">
      <formula>SUM(IF(ISNUMBER(K39),J39,0))</formula>
    </cfRule>
  </conditionalFormatting>
  <conditionalFormatting sqref="F40">
    <cfRule type="expression" dxfId="0" priority="121">
      <formula>AND(ISBLANK(E40),ISBLANK(M40))</formula>
    </cfRule>
    <cfRule type="expression" dxfId="1" priority="122">
      <formula>IF(SUM(I40)=0,1,0)</formula>
    </cfRule>
    <cfRule type="cellIs" dxfId="2" priority="123" operator="greaterThan">
      <formula>SUM(I40)</formula>
    </cfRule>
    <cfRule type="cellIs" dxfId="3" priority="124" operator="greaterThan">
      <formula>SUM(IF(ISNUMBER(K40),J40,0))</formula>
    </cfRule>
  </conditionalFormatting>
  <conditionalFormatting sqref="F41">
    <cfRule type="expression" dxfId="0" priority="125">
      <formula>AND(ISBLANK(E41),ISBLANK(M41))</formula>
    </cfRule>
    <cfRule type="expression" dxfId="1" priority="126">
      <formula>IF(SUM(I41)=0,1,0)</formula>
    </cfRule>
    <cfRule type="cellIs" dxfId="2" priority="127" operator="greaterThan">
      <formula>SUM(I41)</formula>
    </cfRule>
    <cfRule type="cellIs" dxfId="3" priority="128" operator="greaterThan">
      <formula>SUM(IF(ISNUMBER(K41),J41,0))</formula>
    </cfRule>
  </conditionalFormatting>
  <conditionalFormatting sqref="F42">
    <cfRule type="expression" dxfId="0" priority="129">
      <formula>AND(ISBLANK(E42),ISBLANK(M42))</formula>
    </cfRule>
    <cfRule type="expression" dxfId="1" priority="130">
      <formula>IF(SUM(I42)=0,1,0)</formula>
    </cfRule>
    <cfRule type="cellIs" dxfId="2" priority="131" operator="greaterThan">
      <formula>SUM(I42)</formula>
    </cfRule>
    <cfRule type="cellIs" dxfId="3" priority="132" operator="greaterThan">
      <formula>SUM(IF(ISNUMBER(K42),J42,0))</formula>
    </cfRule>
  </conditionalFormatting>
  <conditionalFormatting sqref="F43">
    <cfRule type="expression" dxfId="0" priority="133">
      <formula>AND(ISBLANK(E43),ISBLANK(M43))</formula>
    </cfRule>
    <cfRule type="expression" dxfId="1" priority="134">
      <formula>IF(SUM(I43)=0,1,0)</formula>
    </cfRule>
    <cfRule type="cellIs" dxfId="2" priority="135" operator="greaterThan">
      <formula>SUM(I43)</formula>
    </cfRule>
    <cfRule type="cellIs" dxfId="3" priority="136" operator="greaterThan">
      <formula>SUM(IF(ISNUMBER(K43),J43,0))</formula>
    </cfRule>
  </conditionalFormatting>
  <conditionalFormatting sqref="F44">
    <cfRule type="expression" dxfId="0" priority="137">
      <formula>AND(ISBLANK(E44),ISBLANK(M44))</formula>
    </cfRule>
    <cfRule type="expression" dxfId="1" priority="138">
      <formula>IF(SUM(I44)=0,1,0)</formula>
    </cfRule>
    <cfRule type="cellIs" dxfId="2" priority="139" operator="greaterThan">
      <formula>SUM(I44)</formula>
    </cfRule>
    <cfRule type="cellIs" dxfId="3" priority="140" operator="greaterThan">
      <formula>SUM(IF(ISNUMBER(K44),J44,0))</formula>
    </cfRule>
  </conditionalFormatting>
  <conditionalFormatting sqref="F45">
    <cfRule type="expression" dxfId="0" priority="141">
      <formula>AND(ISBLANK(E45),ISBLANK(M45))</formula>
    </cfRule>
    <cfRule type="expression" dxfId="1" priority="142">
      <formula>IF(SUM(I45)=0,1,0)</formula>
    </cfRule>
    <cfRule type="cellIs" dxfId="2" priority="143" operator="greaterThan">
      <formula>SUM(I45)</formula>
    </cfRule>
    <cfRule type="cellIs" dxfId="3" priority="144" operator="greaterThan">
      <formula>SUM(IF(ISNUMBER(K45),J45,0))</formula>
    </cfRule>
  </conditionalFormatting>
  <conditionalFormatting sqref="F46">
    <cfRule type="expression" dxfId="0" priority="145">
      <formula>AND(ISBLANK(E46),ISBLANK(M46))</formula>
    </cfRule>
    <cfRule type="expression" dxfId="1" priority="146">
      <formula>IF(SUM(I46)=0,1,0)</formula>
    </cfRule>
    <cfRule type="cellIs" dxfId="2" priority="147" operator="greaterThan">
      <formula>SUM(I46)</formula>
    </cfRule>
    <cfRule type="cellIs" dxfId="3" priority="148" operator="greaterThan">
      <formula>SUM(IF(ISNUMBER(K46),J46,0))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19" r:id="rId10"/>
    <hyperlink ref="E20" r:id="rId11"/>
    <hyperlink ref="E21" r:id="rId12"/>
    <hyperlink ref="E22" r:id="rId13"/>
    <hyperlink ref="E23" r:id="rId14"/>
    <hyperlink ref="E24" r:id="rId15"/>
    <hyperlink ref="E25" r:id="rId16"/>
    <hyperlink ref="E26" r:id="rId17"/>
    <hyperlink ref="E27" r:id="rId18"/>
    <hyperlink ref="E28" r:id="rId19"/>
    <hyperlink ref="E29" r:id="rId20"/>
    <hyperlink ref="E30" r:id="rId21"/>
    <hyperlink ref="E31" r:id="rId22"/>
    <hyperlink ref="E32" r:id="rId23"/>
    <hyperlink ref="E33" r:id="rId24"/>
    <hyperlink ref="E34" r:id="rId25"/>
    <hyperlink ref="E35" r:id="rId26"/>
    <hyperlink ref="E36" r:id="rId27"/>
    <hyperlink ref="E37" r:id="rId28"/>
    <hyperlink ref="E38" r:id="rId29"/>
    <hyperlink ref="E39" r:id="rId30"/>
    <hyperlink ref="E40" r:id="rId31"/>
    <hyperlink ref="E41" r:id="rId32"/>
    <hyperlink ref="E42" r:id="rId33"/>
    <hyperlink ref="E43" r:id="rId34"/>
    <hyperlink ref="E44" r:id="rId35"/>
    <hyperlink ref="E45" r:id="rId36"/>
    <hyperlink ref="E46" r:id="rId37"/>
    <hyperlink ref="I48" r:id="rId38"/>
  </hyperlinks>
  <pageMargins left="0.7" right="0.7" top="0.75" bottom="0.75" header="0.3" footer="0.3"/>
  <legacyDrawing r:id="rId39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258</v>
      </c>
    </row>
    <row r="2" spans="1:1">
      <c r="A2" s="6" t="s">
        <v>259</v>
      </c>
    </row>
    <row r="3" spans="1:1">
      <c r="A3" s="5" t="s">
        <v>260</v>
      </c>
    </row>
    <row r="4" spans="1:1">
      <c r="A4" s="7" t="s">
        <v>261</v>
      </c>
    </row>
    <row r="5" spans="1:1">
      <c r="A5" s="12" t="s">
        <v>262</v>
      </c>
    </row>
    <row r="7" spans="1:1">
      <c r="A7" t="s">
        <v>263</v>
      </c>
    </row>
    <row r="8" spans="1:1">
      <c r="A8" s="30" t="s">
        <v>264</v>
      </c>
    </row>
    <row r="9" spans="1:1">
      <c r="A9" s="31" t="s">
        <v>265</v>
      </c>
    </row>
    <row r="10" spans="1:1">
      <c r="A10" s="32" t="s">
        <v>266</v>
      </c>
    </row>
    <row r="11" spans="1:1">
      <c r="A11" s="33" t="s">
        <v>267</v>
      </c>
    </row>
    <row r="12" spans="1:1">
      <c r="A12" s="34" t="s">
        <v>268</v>
      </c>
    </row>
    <row r="13" spans="1:1">
      <c r="A13" s="35" t="s">
        <v>269</v>
      </c>
    </row>
    <row r="14" spans="1:1">
      <c r="A14" s="36" t="s">
        <v>270</v>
      </c>
    </row>
    <row r="15" spans="1:1">
      <c r="A15" s="37" t="s">
        <v>271</v>
      </c>
    </row>
    <row r="16" spans="1:1">
      <c r="A16" s="38" t="s">
        <v>272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2026-02-21T12:41:46Z</dcterms:created>
  <dcterms:modified xsi:type="dcterms:W3CDTF">2026-02-21T12:41:46Z</dcterms:modified>
</cp:coreProperties>
</file>